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fpols\Documents\GitHub\Onderwijs\Boeken\NatuurkundeVO\pocketdemos\"/>
    </mc:Choice>
  </mc:AlternateContent>
  <xr:revisionPtr revIDLastSave="0" documentId="13_ncr:1_{0CC0A5CE-EDE8-425A-8FFF-BF8BF3FA2E25}" xr6:coauthVersionLast="47" xr6:coauthVersionMax="47" xr10:uidLastSave="{00000000-0000-0000-0000-000000000000}"/>
  <bookViews>
    <workbookView xWindow="-108" yWindow="-108" windowWidth="23256" windowHeight="12456" activeTab="1" xr2:uid="{00000000-000D-0000-FFFF-FFFF00000000}"/>
  </bookViews>
  <sheets>
    <sheet name="Instructie" sheetId="3" r:id="rId1"/>
    <sheet name="Gegevens" sheetId="1" r:id="rId2"/>
    <sheet name="Reiskosten en presentie" sheetId="6" r:id="rId3"/>
    <sheet name="Voor boekhouder" sheetId="2" r:id="rId4"/>
    <sheet name="Opzoekblad" sheetId="5" state="hidden" r:id="rId5"/>
  </sheets>
  <definedNames>
    <definedName name="Anders">Opzoekblad!$O$3:$O$12</definedName>
    <definedName name="Bestuur">Opzoekblad!$F$3:$F$4</definedName>
    <definedName name="Bestuurscommissie">Opzoekblad!$J$3:$J$12</definedName>
    <definedName name="BIO">Opzoekblad!$Q$4:$Q$34</definedName>
    <definedName name="Geleding">Opzoekblad!$D$3:$D$11</definedName>
    <definedName name="Kring">Opzoekblad!$I$3:$I$8</definedName>
    <definedName name="Kringcoördinatie">Opzoekblad!$H$3:$H$9</definedName>
    <definedName name="NASK1">Opzoekblad!$S$3:$S$16</definedName>
    <definedName name="NASK2">Opzoekblad!$U$3:$U$16</definedName>
    <definedName name="NAT">Opzoekblad!$R$3:$R$15</definedName>
    <definedName name="_xlnm.Print_Area" localSheetId="1">Gegevens!$A$1:$J$137</definedName>
    <definedName name="_xlnm.Print_Area" localSheetId="2">'Reiskosten en presentie'!$B$1:$L$5</definedName>
    <definedName name="Redactie">Opzoekblad!$L$3:$L$4</definedName>
    <definedName name="SCH">Opzoekblad!$T$3:$T$15</definedName>
    <definedName name="Sectie">Opzoekblad!$G$3:$G$9</definedName>
    <definedName name="TOA">Opzoekblad!$V$3:$V$15</definedName>
    <definedName name="Werkgroep">Opzoekblad!$N$3:$N$4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2" i="6" l="1"/>
  <c r="J100" i="6"/>
  <c r="J98" i="6"/>
  <c r="J96" i="6"/>
  <c r="J94" i="6"/>
  <c r="J92" i="6"/>
  <c r="J90" i="6"/>
  <c r="J88" i="6"/>
  <c r="J86" i="6"/>
  <c r="J84" i="6"/>
  <c r="J82" i="6"/>
  <c r="J80" i="6"/>
  <c r="J78" i="6"/>
  <c r="J76" i="6"/>
  <c r="J74" i="6"/>
  <c r="J72" i="6"/>
  <c r="J70" i="6"/>
  <c r="J68" i="6"/>
  <c r="J66" i="6"/>
  <c r="J64" i="6"/>
  <c r="J62" i="6"/>
  <c r="J60" i="6"/>
  <c r="J58" i="6"/>
  <c r="J56" i="6"/>
  <c r="J54" i="6"/>
  <c r="J52" i="6"/>
  <c r="J50" i="6"/>
  <c r="J48" i="6"/>
  <c r="J46" i="6"/>
  <c r="J44" i="6"/>
  <c r="J42" i="6"/>
  <c r="J40" i="6"/>
  <c r="J38" i="6"/>
  <c r="J36" i="6"/>
  <c r="J34" i="6"/>
  <c r="J32" i="6"/>
  <c r="J30" i="6"/>
  <c r="J28" i="6"/>
  <c r="J26" i="6"/>
  <c r="J24" i="6"/>
  <c r="J22" i="6"/>
  <c r="J20" i="6"/>
  <c r="J18" i="6"/>
  <c r="J16" i="6"/>
  <c r="J14" i="6"/>
  <c r="J12" i="6"/>
  <c r="J10" i="6"/>
  <c r="J8" i="6"/>
  <c r="J6" i="6"/>
  <c r="J4" i="6"/>
  <c r="D5" i="2"/>
  <c r="D4" i="2"/>
  <c r="D3" i="2"/>
  <c r="F102" i="6" l="1"/>
  <c r="F100" i="6"/>
  <c r="F98" i="6"/>
  <c r="F96" i="6"/>
  <c r="F94" i="6"/>
  <c r="F92" i="6"/>
  <c r="F90" i="6"/>
  <c r="F88" i="6"/>
  <c r="F86" i="6"/>
  <c r="F84" i="6"/>
  <c r="F82" i="6"/>
  <c r="F80" i="6"/>
  <c r="F78" i="6"/>
  <c r="F76" i="6"/>
  <c r="F74" i="6"/>
  <c r="F72" i="6"/>
  <c r="F70" i="6"/>
  <c r="F68" i="6"/>
  <c r="F66" i="6"/>
  <c r="F64" i="6"/>
  <c r="F62" i="6"/>
  <c r="F60" i="6"/>
  <c r="F58" i="6"/>
  <c r="F56" i="6"/>
  <c r="F54" i="6"/>
  <c r="F52" i="6"/>
  <c r="F50" i="6"/>
  <c r="F48" i="6"/>
  <c r="F46" i="6"/>
  <c r="F44" i="6"/>
  <c r="F42" i="6"/>
  <c r="F40" i="6"/>
  <c r="F38" i="6"/>
  <c r="F36" i="6"/>
  <c r="F34" i="6"/>
  <c r="F32" i="6"/>
  <c r="F30" i="6"/>
  <c r="F28" i="6"/>
  <c r="F26" i="6"/>
  <c r="F24" i="6"/>
  <c r="F22" i="6"/>
  <c r="F20" i="6"/>
  <c r="F18" i="6"/>
  <c r="F16" i="6"/>
  <c r="F14" i="6"/>
  <c r="B36" i="2"/>
  <c r="F12" i="6"/>
  <c r="F10" i="6"/>
  <c r="F4" i="6"/>
  <c r="F8" i="6"/>
  <c r="F6" i="6"/>
  <c r="D256" i="2"/>
  <c r="D255" i="2"/>
  <c r="J254" i="2"/>
  <c r="I254" i="2"/>
  <c r="H254" i="2"/>
  <c r="G254" i="2"/>
  <c r="F254" i="2"/>
  <c r="E254" i="2"/>
  <c r="D254" i="2"/>
  <c r="D253" i="2"/>
  <c r="B256" i="2"/>
  <c r="B255" i="2"/>
  <c r="B254" i="2"/>
  <c r="B253" i="2"/>
  <c r="A253" i="2"/>
  <c r="D250" i="2"/>
  <c r="J249" i="2"/>
  <c r="I249" i="2"/>
  <c r="H249" i="2"/>
  <c r="G249" i="2"/>
  <c r="F249" i="2"/>
  <c r="E249" i="2"/>
  <c r="D249" i="2"/>
  <c r="D248" i="2"/>
  <c r="D251" i="2"/>
  <c r="B251" i="2"/>
  <c r="B250" i="2"/>
  <c r="B249" i="2"/>
  <c r="B248" i="2"/>
  <c r="A248" i="2"/>
  <c r="D246" i="2"/>
  <c r="D245" i="2"/>
  <c r="J244" i="2"/>
  <c r="I244" i="2"/>
  <c r="H244" i="2"/>
  <c r="G244" i="2"/>
  <c r="F244" i="2"/>
  <c r="E244" i="2"/>
  <c r="D244" i="2"/>
  <c r="D243" i="2"/>
  <c r="B246" i="2"/>
  <c r="B245" i="2"/>
  <c r="B244" i="2"/>
  <c r="B243" i="2"/>
  <c r="A243" i="2"/>
  <c r="D241" i="2"/>
  <c r="D240" i="2"/>
  <c r="J239" i="2"/>
  <c r="I239" i="2"/>
  <c r="H239" i="2"/>
  <c r="G239" i="2"/>
  <c r="F239" i="2"/>
  <c r="E239" i="2"/>
  <c r="D239" i="2"/>
  <c r="D238" i="2"/>
  <c r="B241" i="2"/>
  <c r="B240" i="2"/>
  <c r="B239" i="2"/>
  <c r="B238" i="2"/>
  <c r="A238" i="2"/>
  <c r="D236" i="2"/>
  <c r="D235" i="2"/>
  <c r="J234" i="2"/>
  <c r="I234" i="2"/>
  <c r="H234" i="2"/>
  <c r="G234" i="2"/>
  <c r="F234" i="2"/>
  <c r="E234" i="2"/>
  <c r="D234" i="2"/>
  <c r="D233" i="2"/>
  <c r="B236" i="2"/>
  <c r="B235" i="2"/>
  <c r="B234" i="2"/>
  <c r="B233" i="2"/>
  <c r="A233" i="2"/>
  <c r="D231" i="2"/>
  <c r="D230" i="2"/>
  <c r="J229" i="2"/>
  <c r="I229" i="2"/>
  <c r="H229" i="2"/>
  <c r="G229" i="2"/>
  <c r="F229" i="2"/>
  <c r="E229" i="2"/>
  <c r="D229" i="2"/>
  <c r="D228" i="2"/>
  <c r="B231" i="2"/>
  <c r="B230" i="2"/>
  <c r="B229" i="2"/>
  <c r="B228" i="2"/>
  <c r="A228" i="2"/>
  <c r="D226" i="2"/>
  <c r="D225" i="2"/>
  <c r="J224" i="2"/>
  <c r="I224" i="2"/>
  <c r="H224" i="2"/>
  <c r="G224" i="2"/>
  <c r="F224" i="2"/>
  <c r="E224" i="2"/>
  <c r="D224" i="2"/>
  <c r="D223" i="2"/>
  <c r="B226" i="2"/>
  <c r="B225" i="2"/>
  <c r="B224" i="2"/>
  <c r="B223" i="2"/>
  <c r="A223" i="2"/>
  <c r="D221" i="2"/>
  <c r="D220" i="2"/>
  <c r="J219" i="2"/>
  <c r="I219" i="2"/>
  <c r="H219" i="2"/>
  <c r="G219" i="2"/>
  <c r="F219" i="2"/>
  <c r="E219" i="2"/>
  <c r="D219" i="2"/>
  <c r="D218" i="2"/>
  <c r="B221" i="2"/>
  <c r="B220" i="2"/>
  <c r="B219" i="2"/>
  <c r="B218" i="2"/>
  <c r="A218" i="2"/>
  <c r="D216" i="2"/>
  <c r="D215" i="2"/>
  <c r="J214" i="2"/>
  <c r="I214" i="2"/>
  <c r="H214" i="2"/>
  <c r="G214" i="2"/>
  <c r="F214" i="2"/>
  <c r="E214" i="2"/>
  <c r="D214" i="2"/>
  <c r="D213" i="2"/>
  <c r="B216" i="2"/>
  <c r="B215" i="2"/>
  <c r="B214" i="2"/>
  <c r="B213" i="2"/>
  <c r="A213" i="2"/>
  <c r="D211" i="2"/>
  <c r="D210" i="2"/>
  <c r="H209" i="2"/>
  <c r="G209" i="2"/>
  <c r="F209" i="2"/>
  <c r="E209" i="2"/>
  <c r="D209" i="2"/>
  <c r="D208" i="2"/>
  <c r="B211" i="2"/>
  <c r="B210" i="2"/>
  <c r="B209" i="2"/>
  <c r="B208" i="2"/>
  <c r="A208" i="2"/>
  <c r="D206" i="2"/>
  <c r="D205" i="2"/>
  <c r="J204" i="2"/>
  <c r="I204" i="2"/>
  <c r="H204" i="2"/>
  <c r="G204" i="2"/>
  <c r="F204" i="2"/>
  <c r="E204" i="2"/>
  <c r="D204" i="2"/>
  <c r="D203" i="2"/>
  <c r="B206" i="2"/>
  <c r="B205" i="2"/>
  <c r="B204" i="2"/>
  <c r="B203" i="2"/>
  <c r="A203" i="2"/>
  <c r="D201" i="2"/>
  <c r="D200" i="2"/>
  <c r="J199" i="2"/>
  <c r="I199" i="2"/>
  <c r="H199" i="2"/>
  <c r="G199" i="2"/>
  <c r="F199" i="2"/>
  <c r="E199" i="2"/>
  <c r="D199" i="2"/>
  <c r="D198" i="2"/>
  <c r="B201" i="2"/>
  <c r="B200" i="2"/>
  <c r="B199" i="2"/>
  <c r="B198" i="2"/>
  <c r="A198" i="2"/>
  <c r="D196" i="2"/>
  <c r="D195" i="2"/>
  <c r="J194" i="2"/>
  <c r="I194" i="2"/>
  <c r="H194" i="2"/>
  <c r="G194" i="2"/>
  <c r="F194" i="2"/>
  <c r="E194" i="2"/>
  <c r="D194" i="2"/>
  <c r="D193" i="2"/>
  <c r="B196" i="2"/>
  <c r="B195" i="2"/>
  <c r="B194" i="2"/>
  <c r="B193" i="2"/>
  <c r="A193" i="2"/>
  <c r="D191" i="2"/>
  <c r="D190" i="2"/>
  <c r="J189" i="2"/>
  <c r="I189" i="2"/>
  <c r="H189" i="2"/>
  <c r="G189" i="2"/>
  <c r="F189" i="2"/>
  <c r="E189" i="2"/>
  <c r="D189" i="2"/>
  <c r="D188" i="2"/>
  <c r="B191" i="2"/>
  <c r="B190" i="2"/>
  <c r="B189" i="2"/>
  <c r="B188" i="2"/>
  <c r="A188" i="2"/>
  <c r="A183" i="2"/>
  <c r="D186" i="2"/>
  <c r="D185" i="2"/>
  <c r="J184" i="2"/>
  <c r="I184" i="2"/>
  <c r="H184" i="2"/>
  <c r="G184" i="2"/>
  <c r="F184" i="2"/>
  <c r="E184" i="2"/>
  <c r="D184" i="2"/>
  <c r="D183" i="2"/>
  <c r="B186" i="2"/>
  <c r="B185" i="2"/>
  <c r="B184" i="2"/>
  <c r="B183" i="2"/>
  <c r="J179" i="2"/>
  <c r="I179" i="2"/>
  <c r="H179" i="2"/>
  <c r="G179" i="2"/>
  <c r="F179" i="2"/>
  <c r="E179" i="2"/>
  <c r="D179" i="2"/>
  <c r="D181" i="2"/>
  <c r="D180" i="2"/>
  <c r="B181" i="2"/>
  <c r="B180" i="2"/>
  <c r="B179" i="2"/>
  <c r="B178" i="2"/>
  <c r="A178" i="2"/>
  <c r="D176" i="2"/>
  <c r="D175" i="2"/>
  <c r="J174" i="2"/>
  <c r="I174" i="2"/>
  <c r="H174" i="2"/>
  <c r="G174" i="2"/>
  <c r="F174" i="2"/>
  <c r="E174" i="2"/>
  <c r="D174" i="2"/>
  <c r="B176" i="2"/>
  <c r="B175" i="2"/>
  <c r="B174" i="2"/>
  <c r="D173" i="2"/>
  <c r="B173" i="2"/>
  <c r="A173" i="2"/>
  <c r="D171" i="2" l="1"/>
  <c r="D170" i="2"/>
  <c r="J169" i="2"/>
  <c r="I169" i="2"/>
  <c r="H169" i="2"/>
  <c r="G169" i="2"/>
  <c r="F169" i="2"/>
  <c r="E169" i="2"/>
  <c r="D169" i="2"/>
  <c r="D168" i="2"/>
  <c r="B171" i="2"/>
  <c r="B170" i="2"/>
  <c r="B169" i="2"/>
  <c r="B168" i="2"/>
  <c r="A168" i="2"/>
  <c r="J164" i="2"/>
  <c r="I164" i="2"/>
  <c r="H164" i="2"/>
  <c r="G164" i="2"/>
  <c r="F164" i="2"/>
  <c r="E164" i="2"/>
  <c r="D166" i="2"/>
  <c r="D165" i="2"/>
  <c r="D164" i="2"/>
  <c r="D163" i="2"/>
  <c r="B166" i="2"/>
  <c r="B165" i="2"/>
  <c r="B164" i="2"/>
  <c r="B163" i="2"/>
  <c r="J159" i="2"/>
  <c r="I159" i="2"/>
  <c r="H159" i="2"/>
  <c r="G159" i="2"/>
  <c r="F159" i="2"/>
  <c r="E159" i="2"/>
  <c r="D158" i="2"/>
  <c r="D159" i="2"/>
  <c r="D160" i="2"/>
  <c r="D161" i="2"/>
  <c r="B161" i="2"/>
  <c r="B160" i="2"/>
  <c r="B159" i="2"/>
  <c r="B158" i="2"/>
  <c r="A158" i="2"/>
  <c r="A163" i="2"/>
  <c r="D156" i="2"/>
  <c r="D155" i="2"/>
  <c r="J154" i="2"/>
  <c r="I154" i="2"/>
  <c r="H154" i="2"/>
  <c r="G154" i="2"/>
  <c r="F154" i="2"/>
  <c r="E154" i="2"/>
  <c r="D154" i="2"/>
  <c r="D153" i="2"/>
  <c r="B156" i="2"/>
  <c r="B155" i="2"/>
  <c r="B154" i="2"/>
  <c r="B153" i="2"/>
  <c r="A153" i="2"/>
  <c r="D151" i="2"/>
  <c r="D150" i="2"/>
  <c r="B151" i="2"/>
  <c r="B150" i="2"/>
  <c r="J149" i="2"/>
  <c r="I149" i="2"/>
  <c r="H149" i="2"/>
  <c r="G149" i="2"/>
  <c r="F149" i="2"/>
  <c r="E149" i="2"/>
  <c r="D149" i="2"/>
  <c r="B149" i="2"/>
  <c r="D148" i="2"/>
  <c r="B148" i="2"/>
  <c r="A148" i="2"/>
  <c r="D146" i="2"/>
  <c r="D145" i="2"/>
  <c r="J144" i="2"/>
  <c r="I144" i="2"/>
  <c r="H144" i="2"/>
  <c r="G144" i="2"/>
  <c r="F144" i="2"/>
  <c r="E144" i="2"/>
  <c r="D144" i="2"/>
  <c r="D143" i="2"/>
  <c r="B146" i="2"/>
  <c r="B145" i="2"/>
  <c r="B144" i="2"/>
  <c r="B143" i="2"/>
  <c r="A143" i="2"/>
  <c r="D141" i="2"/>
  <c r="D140" i="2"/>
  <c r="J139" i="2"/>
  <c r="I139" i="2"/>
  <c r="H139" i="2"/>
  <c r="G139" i="2"/>
  <c r="F139" i="2"/>
  <c r="E139" i="2"/>
  <c r="D139" i="2"/>
  <c r="D138" i="2"/>
  <c r="B141" i="2"/>
  <c r="B140" i="2"/>
  <c r="B139" i="2"/>
  <c r="B138" i="2"/>
  <c r="A138" i="2"/>
  <c r="D136" i="2"/>
  <c r="D135" i="2"/>
  <c r="J134" i="2"/>
  <c r="I134" i="2"/>
  <c r="H134" i="2"/>
  <c r="G134" i="2"/>
  <c r="F134" i="2"/>
  <c r="E134" i="2"/>
  <c r="D134" i="2"/>
  <c r="D133" i="2"/>
  <c r="B136" i="2"/>
  <c r="B135" i="2"/>
  <c r="B134" i="2"/>
  <c r="B133" i="2"/>
  <c r="A133" i="2"/>
  <c r="D131" i="2"/>
  <c r="D130" i="2"/>
  <c r="J129" i="2"/>
  <c r="I129" i="2"/>
  <c r="H129" i="2"/>
  <c r="G129" i="2"/>
  <c r="F129" i="2"/>
  <c r="E129" i="2"/>
  <c r="D129" i="2"/>
  <c r="D128" i="2"/>
  <c r="B131" i="2"/>
  <c r="B130" i="2"/>
  <c r="B129" i="2"/>
  <c r="B128" i="2"/>
  <c r="A128" i="2"/>
  <c r="D126" i="2"/>
  <c r="D125" i="2"/>
  <c r="J124" i="2"/>
  <c r="I124" i="2"/>
  <c r="H124" i="2"/>
  <c r="G124" i="2"/>
  <c r="F124" i="2"/>
  <c r="E124" i="2"/>
  <c r="D124" i="2"/>
  <c r="D123" i="2"/>
  <c r="B126" i="2"/>
  <c r="B125" i="2"/>
  <c r="B124" i="2"/>
  <c r="B123" i="2"/>
  <c r="A123" i="2"/>
  <c r="D121" i="2"/>
  <c r="D120" i="2"/>
  <c r="J119" i="2"/>
  <c r="I119" i="2"/>
  <c r="H119" i="2"/>
  <c r="G119" i="2"/>
  <c r="F119" i="2"/>
  <c r="E119" i="2"/>
  <c r="D119" i="2"/>
  <c r="D118" i="2"/>
  <c r="B121" i="2"/>
  <c r="B120" i="2"/>
  <c r="B119" i="2"/>
  <c r="B118" i="2"/>
  <c r="A118" i="2"/>
  <c r="D116" i="2"/>
  <c r="D115" i="2"/>
  <c r="J114" i="2"/>
  <c r="I114" i="2"/>
  <c r="H114" i="2"/>
  <c r="G114" i="2"/>
  <c r="F114" i="2"/>
  <c r="E114" i="2"/>
  <c r="D114" i="2"/>
  <c r="D113" i="2"/>
  <c r="B116" i="2"/>
  <c r="B115" i="2"/>
  <c r="B114" i="2"/>
  <c r="B113" i="2"/>
  <c r="A113" i="2"/>
  <c r="D111" i="2"/>
  <c r="D110" i="2"/>
  <c r="J109" i="2"/>
  <c r="I109" i="2"/>
  <c r="H109" i="2"/>
  <c r="G109" i="2"/>
  <c r="F109" i="2"/>
  <c r="E109" i="2"/>
  <c r="D109" i="2"/>
  <c r="D108" i="2"/>
  <c r="B111" i="2"/>
  <c r="B110" i="2"/>
  <c r="B109" i="2"/>
  <c r="B108" i="2"/>
  <c r="A108" i="2"/>
  <c r="D106" i="2"/>
  <c r="D105" i="2"/>
  <c r="J104" i="2"/>
  <c r="I104" i="2"/>
  <c r="H104" i="2"/>
  <c r="G104" i="2"/>
  <c r="F104" i="2"/>
  <c r="E104" i="2"/>
  <c r="D104" i="2"/>
  <c r="D103" i="2"/>
  <c r="B106" i="2"/>
  <c r="B105" i="2"/>
  <c r="B104" i="2"/>
  <c r="B103" i="2"/>
  <c r="A103" i="2"/>
  <c r="D101" i="2"/>
  <c r="D100" i="2"/>
  <c r="J99" i="2"/>
  <c r="I99" i="2"/>
  <c r="H99" i="2"/>
  <c r="G99" i="2"/>
  <c r="F99" i="2"/>
  <c r="E99" i="2"/>
  <c r="D99" i="2"/>
  <c r="D98" i="2"/>
  <c r="B101" i="2"/>
  <c r="B100" i="2"/>
  <c r="B99" i="2"/>
  <c r="B98" i="2"/>
  <c r="A98" i="2"/>
  <c r="D96" i="2"/>
  <c r="D95" i="2"/>
  <c r="J94" i="2"/>
  <c r="I94" i="2"/>
  <c r="H94" i="2"/>
  <c r="G94" i="2"/>
  <c r="F94" i="2"/>
  <c r="E94" i="2"/>
  <c r="D94" i="2"/>
  <c r="D93" i="2"/>
  <c r="B96" i="2"/>
  <c r="B95" i="2"/>
  <c r="B94" i="2"/>
  <c r="B93" i="2"/>
  <c r="A93" i="2"/>
  <c r="D88" i="2"/>
  <c r="J89" i="2"/>
  <c r="I89" i="2"/>
  <c r="H89" i="2"/>
  <c r="G89" i="2"/>
  <c r="F89" i="2"/>
  <c r="E89" i="2"/>
  <c r="D89" i="2"/>
  <c r="D91" i="2"/>
  <c r="D90" i="2"/>
  <c r="B91" i="2"/>
  <c r="B90" i="2"/>
  <c r="B89" i="2"/>
  <c r="B88" i="2"/>
  <c r="A88" i="2"/>
  <c r="D86" i="2"/>
  <c r="D85" i="2"/>
  <c r="J84" i="2"/>
  <c r="I84" i="2"/>
  <c r="H84" i="2"/>
  <c r="G84" i="2"/>
  <c r="F84" i="2"/>
  <c r="E84" i="2"/>
  <c r="D84" i="2"/>
  <c r="D83" i="2"/>
  <c r="B86" i="2"/>
  <c r="B85" i="2"/>
  <c r="B84" i="2"/>
  <c r="B83" i="2"/>
  <c r="A83" i="2"/>
  <c r="D81" i="2"/>
  <c r="D80" i="2"/>
  <c r="J79" i="2"/>
  <c r="I79" i="2"/>
  <c r="H79" i="2"/>
  <c r="G79" i="2"/>
  <c r="F79" i="2"/>
  <c r="E79" i="2"/>
  <c r="D79" i="2"/>
  <c r="D78" i="2"/>
  <c r="B81" i="2"/>
  <c r="B80" i="2"/>
  <c r="B79" i="2"/>
  <c r="B78" i="2"/>
  <c r="A78" i="2"/>
  <c r="B76" i="2"/>
  <c r="B75" i="2"/>
  <c r="B74" i="2"/>
  <c r="D75" i="2"/>
  <c r="J74" i="2"/>
  <c r="I74" i="2"/>
  <c r="H74" i="2"/>
  <c r="G74" i="2"/>
  <c r="F74" i="2"/>
  <c r="E74" i="2"/>
  <c r="D74" i="2"/>
  <c r="D73" i="2"/>
  <c r="B73" i="2"/>
  <c r="A73" i="2"/>
  <c r="D76" i="2"/>
  <c r="D71" i="2"/>
  <c r="D70" i="2"/>
  <c r="J69" i="2"/>
  <c r="I69" i="2"/>
  <c r="H69" i="2"/>
  <c r="G69" i="2"/>
  <c r="F69" i="2"/>
  <c r="E69" i="2"/>
  <c r="D69" i="2"/>
  <c r="D68" i="2"/>
  <c r="B71" i="2"/>
  <c r="B70" i="2"/>
  <c r="B69" i="2"/>
  <c r="B68" i="2"/>
  <c r="A68" i="2"/>
  <c r="D66" i="2"/>
  <c r="D65" i="2"/>
  <c r="J64" i="2"/>
  <c r="I64" i="2"/>
  <c r="H64" i="2"/>
  <c r="G64" i="2"/>
  <c r="F64" i="2"/>
  <c r="E64" i="2"/>
  <c r="D64" i="2"/>
  <c r="D63" i="2"/>
  <c r="B66" i="2"/>
  <c r="B65" i="2"/>
  <c r="B64" i="2"/>
  <c r="B63" i="2"/>
  <c r="A63" i="2"/>
  <c r="D61" i="2"/>
  <c r="D60" i="2"/>
  <c r="J59" i="2"/>
  <c r="I59" i="2"/>
  <c r="H59" i="2"/>
  <c r="G59" i="2"/>
  <c r="F59" i="2"/>
  <c r="E59" i="2"/>
  <c r="D59" i="2"/>
  <c r="D58" i="2"/>
  <c r="B61" i="2"/>
  <c r="B60" i="2"/>
  <c r="B59" i="2"/>
  <c r="B58" i="2"/>
  <c r="A58" i="2"/>
  <c r="D56" i="2"/>
  <c r="D55" i="2"/>
  <c r="J54" i="2"/>
  <c r="I54" i="2"/>
  <c r="H54" i="2"/>
  <c r="G54" i="2"/>
  <c r="F54" i="2"/>
  <c r="E54" i="2"/>
  <c r="D54" i="2"/>
  <c r="B56" i="2"/>
  <c r="B55" i="2"/>
  <c r="B54" i="2"/>
  <c r="D53" i="2"/>
  <c r="B53" i="2"/>
  <c r="A53" i="2"/>
  <c r="D51" i="2"/>
  <c r="D50" i="2"/>
  <c r="J49" i="2"/>
  <c r="I49" i="2"/>
  <c r="H49" i="2"/>
  <c r="G49" i="2"/>
  <c r="F49" i="2"/>
  <c r="E49" i="2"/>
  <c r="D49" i="2"/>
  <c r="D48" i="2"/>
  <c r="B51" i="2"/>
  <c r="B50" i="2"/>
  <c r="B49" i="2"/>
  <c r="B48" i="2"/>
  <c r="A48" i="2"/>
  <c r="D46" i="2"/>
  <c r="D45" i="2"/>
  <c r="J44" i="2"/>
  <c r="I44" i="2"/>
  <c r="H44" i="2"/>
  <c r="G44" i="2"/>
  <c r="F44" i="2"/>
  <c r="E44" i="2"/>
  <c r="D44" i="2"/>
  <c r="D43" i="2"/>
  <c r="B46" i="2"/>
  <c r="B45" i="2"/>
  <c r="B44" i="2"/>
  <c r="B43" i="2"/>
  <c r="A43" i="2"/>
  <c r="D41" i="2"/>
  <c r="D40" i="2"/>
  <c r="J39" i="2"/>
  <c r="I39" i="2"/>
  <c r="H39" i="2"/>
  <c r="G39" i="2"/>
  <c r="F39" i="2"/>
  <c r="E39" i="2"/>
  <c r="D39" i="2"/>
  <c r="D38" i="2"/>
  <c r="B41" i="2"/>
  <c r="B40" i="2"/>
  <c r="B39" i="2"/>
  <c r="B38" i="2"/>
  <c r="A38" i="2"/>
  <c r="D36" i="2"/>
  <c r="J34" i="2"/>
  <c r="I34" i="2"/>
  <c r="H34" i="2"/>
  <c r="G34" i="2"/>
  <c r="F34" i="2"/>
  <c r="E34" i="2"/>
  <c r="D34" i="2"/>
  <c r="D33" i="2"/>
  <c r="B35" i="2"/>
  <c r="B34" i="2"/>
  <c r="B33" i="2"/>
  <c r="A33" i="2"/>
  <c r="J29" i="2"/>
  <c r="I29" i="2"/>
  <c r="H29" i="2"/>
  <c r="G29" i="2"/>
  <c r="F29" i="2"/>
  <c r="D29" i="2"/>
  <c r="D14" i="2"/>
  <c r="E29" i="2"/>
  <c r="D28" i="2"/>
  <c r="B31" i="2"/>
  <c r="B30" i="2"/>
  <c r="B29" i="2"/>
  <c r="B28" i="2"/>
  <c r="A28" i="2"/>
  <c r="D26" i="2"/>
  <c r="J24" i="2"/>
  <c r="I24" i="2"/>
  <c r="H24" i="2"/>
  <c r="G24" i="2"/>
  <c r="F24" i="2"/>
  <c r="E24" i="2"/>
  <c r="D24" i="2"/>
  <c r="D23" i="2"/>
  <c r="B26" i="2"/>
  <c r="B25" i="2"/>
  <c r="B24" i="2"/>
  <c r="B23" i="2"/>
  <c r="A23" i="2"/>
  <c r="D178" i="2"/>
  <c r="I209" i="2"/>
  <c r="J209" i="2"/>
  <c r="D21" i="2"/>
  <c r="D20" i="2"/>
  <c r="J19" i="2"/>
  <c r="I19" i="2"/>
  <c r="H19" i="2"/>
  <c r="G19" i="2"/>
  <c r="F19" i="2"/>
  <c r="E19" i="2"/>
  <c r="D19" i="2"/>
  <c r="J14" i="2"/>
  <c r="I14" i="2"/>
  <c r="H14" i="2"/>
  <c r="G14" i="2"/>
  <c r="F14" i="2"/>
  <c r="E14" i="2"/>
  <c r="D16" i="2"/>
  <c r="D13" i="2"/>
  <c r="B16" i="2"/>
  <c r="B15" i="2"/>
  <c r="B14" i="2"/>
  <c r="A13" i="2"/>
  <c r="B13" i="2"/>
  <c r="B18" i="2"/>
  <c r="B19" i="2"/>
  <c r="B20" i="2"/>
  <c r="B21" i="2"/>
  <c r="D18" i="2"/>
  <c r="A18" i="2"/>
  <c r="B11" i="2"/>
  <c r="B10" i="2"/>
  <c r="J9" i="2"/>
  <c r="I9" i="2"/>
  <c r="H9" i="2"/>
  <c r="G9" i="2"/>
  <c r="F9" i="2"/>
  <c r="E9" i="2"/>
  <c r="D9" i="2"/>
  <c r="B9" i="2"/>
  <c r="D8" i="2"/>
  <c r="B8" i="2"/>
  <c r="A8" i="2"/>
  <c r="K102" i="6"/>
  <c r="L102" i="6" s="1"/>
  <c r="K100" i="6"/>
  <c r="L100" i="6" s="1"/>
  <c r="K98" i="6"/>
  <c r="L98" i="6"/>
  <c r="K96" i="6"/>
  <c r="L96" i="6"/>
  <c r="K94" i="6"/>
  <c r="L94" i="6"/>
  <c r="K92" i="6"/>
  <c r="L92" i="6"/>
  <c r="K90" i="6"/>
  <c r="L90" i="6"/>
  <c r="K88" i="6"/>
  <c r="L88" i="6"/>
  <c r="K86" i="6"/>
  <c r="L86" i="6"/>
  <c r="K84" i="6"/>
  <c r="L84" i="6"/>
  <c r="K82" i="6"/>
  <c r="L82" i="6"/>
  <c r="K80" i="6"/>
  <c r="L80" i="6"/>
  <c r="K78" i="6"/>
  <c r="L78" i="6"/>
  <c r="K76" i="6"/>
  <c r="L76" i="6"/>
  <c r="K74" i="6"/>
  <c r="L74" i="6"/>
  <c r="K72" i="6"/>
  <c r="L72" i="6"/>
  <c r="K70" i="6"/>
  <c r="L70" i="6"/>
  <c r="K68" i="6"/>
  <c r="L68" i="6"/>
  <c r="K66" i="6"/>
  <c r="L66" i="6"/>
  <c r="K64" i="6"/>
  <c r="L64" i="6"/>
  <c r="K62" i="6"/>
  <c r="L62" i="6" s="1"/>
  <c r="K60" i="6"/>
  <c r="L60" i="6"/>
  <c r="K58" i="6"/>
  <c r="L58" i="6"/>
  <c r="K56" i="6"/>
  <c r="L56" i="6" s="1"/>
  <c r="K54" i="6"/>
  <c r="L54" i="6"/>
  <c r="K52" i="6"/>
  <c r="L52" i="6"/>
  <c r="K50" i="6"/>
  <c r="L50" i="6"/>
  <c r="K48" i="6"/>
  <c r="L48" i="6" s="1"/>
  <c r="K46" i="6"/>
  <c r="L46" i="6"/>
  <c r="K44" i="6"/>
  <c r="L44" i="6"/>
  <c r="K42" i="6"/>
  <c r="L42" i="6"/>
  <c r="K40" i="6"/>
  <c r="L40" i="6"/>
  <c r="K38" i="6"/>
  <c r="L38" i="6"/>
  <c r="K36" i="6"/>
  <c r="L36" i="6"/>
  <c r="K34" i="6"/>
  <c r="L34" i="6"/>
  <c r="K32" i="6"/>
  <c r="L32" i="6"/>
  <c r="K30" i="6"/>
  <c r="L30" i="6"/>
  <c r="K28" i="6"/>
  <c r="L28" i="6"/>
  <c r="K26" i="6"/>
  <c r="L26" i="6"/>
  <c r="K24" i="6"/>
  <c r="L24" i="6"/>
  <c r="K22" i="6"/>
  <c r="L22" i="6"/>
  <c r="K20" i="6"/>
  <c r="K18" i="6"/>
  <c r="K16" i="6"/>
  <c r="K14" i="6"/>
  <c r="L14" i="6"/>
  <c r="K12" i="6"/>
  <c r="D31" i="2"/>
  <c r="K10" i="6"/>
  <c r="D25" i="2"/>
  <c r="K8" i="6"/>
  <c r="K6" i="6"/>
  <c r="D15" i="2"/>
  <c r="F2" i="2"/>
  <c r="E2" i="2"/>
  <c r="D35" i="2" l="1"/>
  <c r="L12" i="6"/>
  <c r="D30" i="2"/>
  <c r="L10" i="6"/>
  <c r="L8" i="6"/>
  <c r="L20" i="6"/>
  <c r="L18" i="6"/>
  <c r="L16" i="6"/>
  <c r="L6" i="6"/>
  <c r="D11" i="2"/>
  <c r="K4" i="6"/>
  <c r="D2" i="2"/>
  <c r="D6" i="2"/>
  <c r="A12" i="1"/>
  <c r="D10" i="2" l="1"/>
  <c r="L4" i="6"/>
</calcChain>
</file>

<file path=xl/sharedStrings.xml><?xml version="1.0" encoding="utf-8"?>
<sst xmlns="http://schemas.openxmlformats.org/spreadsheetml/2006/main" count="693" uniqueCount="325">
  <si>
    <t>Inzender:</t>
  </si>
  <si>
    <t>Lidnr:</t>
  </si>
  <si>
    <t>Omschrijving</t>
  </si>
  <si>
    <t>Bestuur</t>
  </si>
  <si>
    <t>Sectie</t>
  </si>
  <si>
    <t>Bestuurscommissie</t>
  </si>
  <si>
    <t>LET OP:</t>
  </si>
  <si>
    <t>Redactie</t>
  </si>
  <si>
    <t>Anders</t>
  </si>
  <si>
    <t>Financiële Administratie NVON</t>
  </si>
  <si>
    <t>Dokter van Deenweg 162</t>
  </si>
  <si>
    <t>8025 BM Zwolle</t>
  </si>
  <si>
    <t>Bureau</t>
  </si>
  <si>
    <t>Kringcoördinatie</t>
  </si>
  <si>
    <t>Handtekening (digitaal indien mogelijk):</t>
  </si>
  <si>
    <t>GB-rekening</t>
  </si>
  <si>
    <t>Naam budgethouder voor akkoord:</t>
  </si>
  <si>
    <t>AB</t>
  </si>
  <si>
    <t>DB</t>
  </si>
  <si>
    <t>NAT</t>
  </si>
  <si>
    <t>TK</t>
  </si>
  <si>
    <t>TOA</t>
  </si>
  <si>
    <t>BIO</t>
  </si>
  <si>
    <t>SCH</t>
  </si>
  <si>
    <t>BIO VMBO</t>
  </si>
  <si>
    <t>BIO H/V</t>
  </si>
  <si>
    <t>NAT H/V</t>
  </si>
  <si>
    <t>SCH H/V</t>
  </si>
  <si>
    <t>Eerste niveau dropdown</t>
  </si>
  <si>
    <t>Geleding</t>
  </si>
  <si>
    <t>Tweede niveau dropdown</t>
  </si>
  <si>
    <t>Kring</t>
  </si>
  <si>
    <t>Jong NVON</t>
  </si>
  <si>
    <t>Bovenbw</t>
  </si>
  <si>
    <t>Onderbw</t>
  </si>
  <si>
    <t>NVON-Reeks</t>
  </si>
  <si>
    <t>Financiën</t>
  </si>
  <si>
    <t>Project</t>
  </si>
  <si>
    <t>NVOX</t>
  </si>
  <si>
    <t>Derde niveau dropdown</t>
  </si>
  <si>
    <t>Friesland H/V</t>
  </si>
  <si>
    <t>Zwolle H/V</t>
  </si>
  <si>
    <t>Oost H/V</t>
  </si>
  <si>
    <t>Arnhem H/V</t>
  </si>
  <si>
    <t>Gooi-Utrecht H/V</t>
  </si>
  <si>
    <t>Amsterdam H/V</t>
  </si>
  <si>
    <t>Haarlem H/V</t>
  </si>
  <si>
    <t>Kennemer H/V</t>
  </si>
  <si>
    <t>Rijnland H/V</t>
  </si>
  <si>
    <t>Den Haag H/V</t>
  </si>
  <si>
    <t>Rijnmond H/V</t>
  </si>
  <si>
    <t>Zeeland H/V</t>
  </si>
  <si>
    <t>Breda H/V</t>
  </si>
  <si>
    <t>Eindhoven H/V</t>
  </si>
  <si>
    <t>Groningen VMBO</t>
  </si>
  <si>
    <t>Friesland VMBO</t>
  </si>
  <si>
    <t>Zwolle/Noord Veluwe VMBO</t>
  </si>
  <si>
    <t>Zuid-Limburg H/V</t>
  </si>
  <si>
    <t>Oost VMBO</t>
  </si>
  <si>
    <t>Zuidoost Gelderland VMBO</t>
  </si>
  <si>
    <t>Utrecht VMBO</t>
  </si>
  <si>
    <t>Amsterdam VMBO</t>
  </si>
  <si>
    <t>Kennemer VMBO</t>
  </si>
  <si>
    <t>Gouda VMBO</t>
  </si>
  <si>
    <t>Den Haag VMBO</t>
  </si>
  <si>
    <t>Zeeland VMBO</t>
  </si>
  <si>
    <t>West Brabant VMBO</t>
  </si>
  <si>
    <t>Oost Brabant VMBO</t>
  </si>
  <si>
    <t>Venlo VMBO</t>
  </si>
  <si>
    <t>Sittard VMBO</t>
  </si>
  <si>
    <t>Noord H/V</t>
  </si>
  <si>
    <t>Arnhem/Nijmegen H/V</t>
  </si>
  <si>
    <t>Utrecht H/V</t>
  </si>
  <si>
    <t>Zwolle VMBO</t>
  </si>
  <si>
    <t>Nijmegen VMBO</t>
  </si>
  <si>
    <t>Rijnmond VMBO</t>
  </si>
  <si>
    <t>Breda VMBO</t>
  </si>
  <si>
    <t>Limburg VMBO</t>
  </si>
  <si>
    <t>Alkmaar H/V</t>
  </si>
  <si>
    <t>Amsterdam/Haarlem H/V</t>
  </si>
  <si>
    <t>Rotterdam H/V</t>
  </si>
  <si>
    <t>Limburg H/V</t>
  </si>
  <si>
    <t>Noord</t>
  </si>
  <si>
    <t>Zwolle</t>
  </si>
  <si>
    <t>Oost</t>
  </si>
  <si>
    <t>Utrecht</t>
  </si>
  <si>
    <t>Kennemer</t>
  </si>
  <si>
    <t>Amsterdam</t>
  </si>
  <si>
    <t>Rijnmond</t>
  </si>
  <si>
    <t>Zeeland</t>
  </si>
  <si>
    <t>Breda</t>
  </si>
  <si>
    <t>Eindhoven</t>
  </si>
  <si>
    <t>Arnhem/Nijmegen</t>
  </si>
  <si>
    <t>Den Haag</t>
  </si>
  <si>
    <t>Limburg</t>
  </si>
  <si>
    <t>Ponvon</t>
  </si>
  <si>
    <t>ARBO</t>
  </si>
  <si>
    <t>Duurzaamheid</t>
  </si>
  <si>
    <t>Bestuur AB</t>
  </si>
  <si>
    <t>Bestuur DB</t>
  </si>
  <si>
    <t>Kringcoördinatie BIO H/V</t>
  </si>
  <si>
    <t>Kringcoördinatie BIO VMBO</t>
  </si>
  <si>
    <t>Kringcoördinatie NAT H/V</t>
  </si>
  <si>
    <t>Kringcoördinatie SCH H/V</t>
  </si>
  <si>
    <t>Kringcoördinatie NASK2 VMBO</t>
  </si>
  <si>
    <t>NASK1 VMBO</t>
  </si>
  <si>
    <t>NASK2 VMBO</t>
  </si>
  <si>
    <t>Kringcoördinatie NASK1 VMBO</t>
  </si>
  <si>
    <t>Kringcoördinatie TOA</t>
  </si>
  <si>
    <t>Bestuurscommissie Ponvon</t>
  </si>
  <si>
    <t>Bestuurscommissie Jong NVON</t>
  </si>
  <si>
    <t>Bestuurscommissie ARBO</t>
  </si>
  <si>
    <t>Bestuurscommissie Bovenbw</t>
  </si>
  <si>
    <t>Bestuurscommissie Onderbw</t>
  </si>
  <si>
    <t>Bestuurscommissie NVON-reeks</t>
  </si>
  <si>
    <t>Bestuurscommissie Financiën</t>
  </si>
  <si>
    <t>Bestuurscommissie Duurzaamheid</t>
  </si>
  <si>
    <t>Redactie NVOX</t>
  </si>
  <si>
    <t>Redactie TK</t>
  </si>
  <si>
    <t>Oost Brabant/Noord Limburg H/V</t>
  </si>
  <si>
    <t>Declaratie van:</t>
  </si>
  <si>
    <t>Werkgroep</t>
  </si>
  <si>
    <t>NASK1</t>
  </si>
  <si>
    <t>NASK2</t>
  </si>
  <si>
    <t>Kring BIO Noord H/V</t>
  </si>
  <si>
    <t>Kring BIO Friesland H/V</t>
  </si>
  <si>
    <t>Kring BIO Zwolle H/V</t>
  </si>
  <si>
    <t>Kring BIO Oost H/V</t>
  </si>
  <si>
    <t>Kring BIO Arnhem H/V</t>
  </si>
  <si>
    <t>Kring BIO Gooi-Utrecht H/V</t>
  </si>
  <si>
    <t>Wet Oriënt</t>
  </si>
  <si>
    <t>Kring BIO Amsterdam H/V</t>
  </si>
  <si>
    <t>Kring BIO Haarlem H/V</t>
  </si>
  <si>
    <t>Kring BIO Kennemer H/V</t>
  </si>
  <si>
    <t>Kring BIO Rijnland H/V</t>
  </si>
  <si>
    <t>Kring BIO Den Haag H/V</t>
  </si>
  <si>
    <t>Kring BIO Rijnmond H/V</t>
  </si>
  <si>
    <t>Kring BIO Zeeland H/V</t>
  </si>
  <si>
    <t>Kring BIO Breda H/V</t>
  </si>
  <si>
    <t>Kring BIO Eindhoven H/V</t>
  </si>
  <si>
    <t>Kring BIO Oost Brabant/Noord Limburg H/V</t>
  </si>
  <si>
    <t>Kring BIO Zuid-Limburg H/V</t>
  </si>
  <si>
    <t>Kring BIO Groningen VMBO</t>
  </si>
  <si>
    <t>Kring BIO Friesland VMBO</t>
  </si>
  <si>
    <t>Kring BIO Zwolle/Noord Veluwe VMBO</t>
  </si>
  <si>
    <t>Kring BIO Oost VMBO</t>
  </si>
  <si>
    <t>Kring BIO Zuidoost Gelderland VMBO</t>
  </si>
  <si>
    <t>Kring BIO Utrecht VMBO</t>
  </si>
  <si>
    <t>Kring BIO Amsterdam VMBO</t>
  </si>
  <si>
    <t>Kring BIO Kennemer VMBO</t>
  </si>
  <si>
    <t>Kring BIO Gouda VMBO</t>
  </si>
  <si>
    <t>Kring BIO Den Haag VMBO</t>
  </si>
  <si>
    <t>Kring BIO Zeeland VMBO</t>
  </si>
  <si>
    <t>Kring BIO West Brabant VMBO</t>
  </si>
  <si>
    <t>Kring BIO Oost Brabant VMBO</t>
  </si>
  <si>
    <t>Kring BIO Venlo VMBO</t>
  </si>
  <si>
    <t>Kring BIO Sittard VMBO</t>
  </si>
  <si>
    <t>Kring NAT Noord H/V</t>
  </si>
  <si>
    <t>Kring NAT Zwolle H/V</t>
  </si>
  <si>
    <t>Kring NAT Oost H/V</t>
  </si>
  <si>
    <t>Kring NAT Arnhem/Nijmegen H/V</t>
  </si>
  <si>
    <t>Kring NAT Utrecht H/V</t>
  </si>
  <si>
    <t>Kring NAT Kennemer H/V</t>
  </si>
  <si>
    <t>Kring NAT Amsterdam H/V</t>
  </si>
  <si>
    <t>Kring NAT Rijnmond H/V</t>
  </si>
  <si>
    <t>Kring NAT Den Haag H/V</t>
  </si>
  <si>
    <t>Kring NAT Zeeland H/V</t>
  </si>
  <si>
    <t>Kring NAT Breda H/V</t>
  </si>
  <si>
    <t>Kring NAT Eindhoven H/V</t>
  </si>
  <si>
    <t>Kring NAT Limburg H/V</t>
  </si>
  <si>
    <t>Kring NASK1 Groningen VMBO</t>
  </si>
  <si>
    <t>Kring NASK1 Friesland VMBO</t>
  </si>
  <si>
    <t>Kring NASK1 Zwolle VMBO</t>
  </si>
  <si>
    <t>Kring NASK1 Oost VMBO</t>
  </si>
  <si>
    <t>Kring NASK1 Nijmegen VMBO</t>
  </si>
  <si>
    <t>Kring NASK1 Utrecht VMBO</t>
  </si>
  <si>
    <t>Kring NASK1 Kennemer VMBO</t>
  </si>
  <si>
    <t>Kring NASK1 Amsterdam VMBO</t>
  </si>
  <si>
    <t>Kring NASK1 Den Haag VMBO</t>
  </si>
  <si>
    <t>Kring NASK1 Rijnmond VMBO</t>
  </si>
  <si>
    <t>Kring NASK1 Zeeland VMBO</t>
  </si>
  <si>
    <t>Kring NASK1 Breda VMBO</t>
  </si>
  <si>
    <t>Kring NASK1 Oost Brabant VMBO</t>
  </si>
  <si>
    <t>Kring NASK1 Limburg VMBO</t>
  </si>
  <si>
    <t>Kring SCH Noord H/V</t>
  </si>
  <si>
    <t>Kring SCH Zwolle H/V</t>
  </si>
  <si>
    <t>Kring SCH Oost H/V</t>
  </si>
  <si>
    <t>Kring SCH Arnhem/Nijmegen H/V</t>
  </si>
  <si>
    <t>Kring SCH Utrecht H/V</t>
  </si>
  <si>
    <t>Kring SCH Alkmaar H/V</t>
  </si>
  <si>
    <t>Kring SCH Amsterdam/Haarlem H/V</t>
  </si>
  <si>
    <t>Kring SCH Den Haag H/V</t>
  </si>
  <si>
    <t>Kring SCH Rotterdam H/V</t>
  </si>
  <si>
    <t>Kring SCH Zeeland H/V</t>
  </si>
  <si>
    <t>Kring SCH Breda H/V</t>
  </si>
  <si>
    <t>Kring SCH Eindhoven H/V</t>
  </si>
  <si>
    <t>Kring SCH Limburg H/V</t>
  </si>
  <si>
    <t>Kring NASK2 Groningen VMBO</t>
  </si>
  <si>
    <t>Kring NASK2 Friesland VMBO</t>
  </si>
  <si>
    <t>Kring NASK2 Zwolle VMBO</t>
  </si>
  <si>
    <t>Kring NASK2 Oost VMBO</t>
  </si>
  <si>
    <t>Kring NASK2 Nijmegen VMBO</t>
  </si>
  <si>
    <t>Kring NASK2 Utrecht VMBO</t>
  </si>
  <si>
    <t>Kring NASK2 Kennemer VMBO</t>
  </si>
  <si>
    <t>Kring NASK2 Amsterdam VMBO</t>
  </si>
  <si>
    <t>Kring NASK2 Den Haag VMBO</t>
  </si>
  <si>
    <t>Kring NASK2 Rijnmond VMBO</t>
  </si>
  <si>
    <t>Kring NASK2 Zeeland VMBO</t>
  </si>
  <si>
    <t>Kring NASK2 Breda VMBO</t>
  </si>
  <si>
    <t>Kring NASK2 Oost Brabant VMBO</t>
  </si>
  <si>
    <t>Kring NASK2 Limburg VMBO</t>
  </si>
  <si>
    <t>Kring TOA Noord</t>
  </si>
  <si>
    <t>Kring TOA Zwolle</t>
  </si>
  <si>
    <t>Kring TOA Oost</t>
  </si>
  <si>
    <t>Kring TOA Arnhem/Nijmegen</t>
  </si>
  <si>
    <t>Kring TOA Utrecht</t>
  </si>
  <si>
    <t>Kring TOA Kennemer</t>
  </si>
  <si>
    <t>Kring TOA Amsterdam</t>
  </si>
  <si>
    <t>Kring TOA Rijnmond</t>
  </si>
  <si>
    <t>Kring TOA Den Haag</t>
  </si>
  <si>
    <t>Kring TOA Zeeland</t>
  </si>
  <si>
    <t>Kring TOA Breda</t>
  </si>
  <si>
    <t>Kring TOA Eindhoven</t>
  </si>
  <si>
    <t>Kring TOA Limburg</t>
  </si>
  <si>
    <t>Bestuurscommissie VakbAct</t>
  </si>
  <si>
    <t>Diagnostische vragen</t>
  </si>
  <si>
    <t>Itembank</t>
  </si>
  <si>
    <t>AB - DB</t>
  </si>
  <si>
    <t>BIO - NASK1 - NASK2 - NAT - SCH - TOA</t>
  </si>
  <si>
    <t>BIO H/V - BIO VMBO - NASK1 VMBO - NASK2 VMBO - NAT H/V - SCH H/V - TOA</t>
  </si>
  <si>
    <t>-</t>
  </si>
  <si>
    <t>NVOX - TK</t>
  </si>
  <si>
    <t xml:space="preserve">BIO -  NAT - NLT - SCH - TECH - TOA - VMBO </t>
  </si>
  <si>
    <t>In het geval van Anders verschijnt er onder Anders een hokje om een toelichting te geven.</t>
  </si>
  <si>
    <r>
      <t xml:space="preserve">Voor vragen over het declareren, invullen van het formulier en overige vragen kunt u de financiële administratie bellen op maandag t/m vrijdag tussen 9.00 en 12.30 uur. Telefoonnumnmer </t>
    </r>
    <r>
      <rPr>
        <b/>
        <sz val="12"/>
        <color rgb="FF0000FF"/>
        <rFont val="Arial"/>
        <family val="2"/>
      </rPr>
      <t xml:space="preserve">0522-243347 </t>
    </r>
    <r>
      <rPr>
        <sz val="12"/>
        <color rgb="FF000000"/>
        <rFont val="Arial"/>
        <family val="2"/>
      </rPr>
      <t xml:space="preserve">of mailen naar </t>
    </r>
    <r>
      <rPr>
        <b/>
        <sz val="12"/>
        <color rgb="FF0000FF"/>
        <rFont val="Arial"/>
        <family val="2"/>
      </rPr>
      <t>boekhouder@nvon.nl</t>
    </r>
  </si>
  <si>
    <t>alle pagina's staan al correct ingesteld en beveiligd. U kunt hier niks aan veranderen. Mocht dit om wat voor reden toch nodig zijn, neemt u dan contact op met de financiële administratie.</t>
  </si>
  <si>
    <r>
      <t>De onderliggende stukken (facturen, bonnen, betalingsbewijzen e.d.) mailt u naar uw budgethouder. Als u deze alleen op papier hebt ontvangen, scan of fotografeer deze dan en mail ze dan naar uw budgethouder. Controleer of digitale gescande of gefotografeerde stukken goed leesbaar zijn</t>
    </r>
    <r>
      <rPr>
        <sz val="12"/>
        <color indexed="8"/>
        <rFont val="Arial"/>
        <family val="2"/>
      </rPr>
      <t>.</t>
    </r>
  </si>
  <si>
    <t>Adres :</t>
  </si>
  <si>
    <t>Itembank BIO kosten</t>
  </si>
  <si>
    <t>VakbAct</t>
  </si>
  <si>
    <t>Bestuurscommissie Communicatie &amp; PR</t>
  </si>
  <si>
    <t>Itembank BIO</t>
  </si>
  <si>
    <t>Hoofd Bureau algemeen</t>
  </si>
  <si>
    <r>
      <t xml:space="preserve">Vervolgens selecteert u bij niveau 1 onder welke hoofdpost uw declaratie valt. Zodra u in de witte cel rechts van </t>
    </r>
    <r>
      <rPr>
        <b/>
        <sz val="12"/>
        <color rgb="FF000000"/>
        <rFont val="Arial"/>
        <family val="2"/>
      </rPr>
      <t>niveau 1</t>
    </r>
    <r>
      <rPr>
        <sz val="12"/>
        <color rgb="FF000000"/>
        <rFont val="Arial"/>
        <family val="2"/>
      </rPr>
      <t xml:space="preserve"> staat, verschijnt er een dropdown menu. Ga op het driehoekje staan om het drop down menu te laten verschijnen en selecteer de juiste optie</t>
    </r>
  </si>
  <si>
    <r>
      <t xml:space="preserve">Afhankelijk van de keuze bij </t>
    </r>
    <r>
      <rPr>
        <b/>
        <sz val="12"/>
        <color rgb="FF000000"/>
        <rFont val="Arial"/>
        <family val="2"/>
      </rPr>
      <t>niveau 1</t>
    </r>
    <r>
      <rPr>
        <sz val="12"/>
        <color rgb="FF000000"/>
        <rFont val="Arial"/>
        <family val="2"/>
      </rPr>
      <t xml:space="preserve"> verschijnen er bij </t>
    </r>
    <r>
      <rPr>
        <b/>
        <sz val="12"/>
        <color rgb="FF000000"/>
        <rFont val="Arial"/>
        <family val="2"/>
      </rPr>
      <t>niveau 2</t>
    </r>
    <r>
      <rPr>
        <sz val="12"/>
        <color rgb="FF000000"/>
        <rFont val="Arial"/>
        <family val="2"/>
      </rPr>
      <t xml:space="preserve"> de opties die daarbij horen.</t>
    </r>
  </si>
  <si>
    <r>
      <t xml:space="preserve">Hieronder staan de keuzemogelijkheden die in een drop down menu bij </t>
    </r>
    <r>
      <rPr>
        <b/>
        <sz val="12"/>
        <color rgb="FF000000"/>
        <rFont val="Arial"/>
        <family val="2"/>
      </rPr>
      <t xml:space="preserve">niveau 2 </t>
    </r>
    <r>
      <rPr>
        <sz val="12"/>
        <color rgb="FF000000"/>
        <rFont val="Arial"/>
        <family val="2"/>
      </rPr>
      <t xml:space="preserve">verschijnen na het kiezen van een optie bij </t>
    </r>
    <r>
      <rPr>
        <b/>
        <sz val="12"/>
        <color rgb="FF000000"/>
        <rFont val="Arial"/>
        <family val="2"/>
      </rPr>
      <t>niveau 1</t>
    </r>
    <r>
      <rPr>
        <sz val="12"/>
        <color rgb="FF000000"/>
        <rFont val="Arial"/>
        <family val="2"/>
      </rPr>
      <t>.</t>
    </r>
  </si>
  <si>
    <t>niveau 1</t>
  </si>
  <si>
    <t>niveau 2</t>
  </si>
  <si>
    <r>
      <t xml:space="preserve">Alleen als u bij </t>
    </r>
    <r>
      <rPr>
        <b/>
        <sz val="12"/>
        <color rgb="FF000000"/>
        <rFont val="Arial"/>
        <family val="2"/>
      </rPr>
      <t>niveau 1</t>
    </r>
    <r>
      <rPr>
        <sz val="12"/>
        <color rgb="FF000000"/>
        <rFont val="Arial"/>
        <family val="2"/>
      </rPr>
      <t xml:space="preserve"> voor "Kring" hebt gekozen en bij </t>
    </r>
    <r>
      <rPr>
        <b/>
        <sz val="12"/>
        <color rgb="FF000000"/>
        <rFont val="Arial"/>
        <family val="2"/>
      </rPr>
      <t>niveau 2</t>
    </r>
    <r>
      <rPr>
        <sz val="12"/>
        <color rgb="FF000000"/>
        <rFont val="Arial"/>
        <family val="2"/>
      </rPr>
      <t xml:space="preserve"> een vak hebt geselecteerd, kunt u bij </t>
    </r>
    <r>
      <rPr>
        <b/>
        <sz val="12"/>
        <color rgb="FF000000"/>
        <rFont val="Arial"/>
        <family val="2"/>
      </rPr>
      <t>niveau</t>
    </r>
    <r>
      <rPr>
        <sz val="12"/>
        <color rgb="FF000000"/>
        <rFont val="Arial"/>
        <family val="2"/>
      </rPr>
      <t xml:space="preserve"> </t>
    </r>
    <r>
      <rPr>
        <b/>
        <sz val="12"/>
        <color rgb="FF000000"/>
        <rFont val="Arial"/>
        <family val="2"/>
      </rPr>
      <t>3</t>
    </r>
    <r>
      <rPr>
        <sz val="12"/>
        <color rgb="FF000000"/>
        <rFont val="Arial"/>
        <family val="2"/>
      </rPr>
      <t xml:space="preserve"> de plaats van de kring selecteren. Let erop: het drop down menu van de plaatsen van de kringen is lang. Het kan zijn dat u in het drop down menu naar beneden moet scrollen.</t>
    </r>
  </si>
  <si>
    <t>Niveau 1</t>
  </si>
  <si>
    <t>Niveau 2</t>
  </si>
  <si>
    <t>Niveau 3</t>
  </si>
  <si>
    <r>
      <t xml:space="preserve">In het geval van Project verschijnt er onder het Project een hokje om het projectnummer </t>
    </r>
    <r>
      <rPr>
        <b/>
        <i/>
        <sz val="12"/>
        <color rgb="FF000000"/>
        <rFont val="Arial"/>
        <family val="2"/>
      </rPr>
      <t>en</t>
    </r>
    <r>
      <rPr>
        <i/>
        <sz val="12"/>
        <color rgb="FF000000"/>
        <rFont val="Arial"/>
        <family val="2"/>
      </rPr>
      <t xml:space="preserve"> de projectnaam in te vullen.</t>
    </r>
  </si>
  <si>
    <t>BIO.</t>
  </si>
  <si>
    <t>NAT.</t>
  </si>
  <si>
    <t>NLT.</t>
  </si>
  <si>
    <t>SCH.</t>
  </si>
  <si>
    <t>TECH.</t>
  </si>
  <si>
    <t>TOA.</t>
  </si>
  <si>
    <t>VMBO.</t>
  </si>
  <si>
    <t>Sectie BIO.</t>
  </si>
  <si>
    <t>Sectie NAT.</t>
  </si>
  <si>
    <t>Sectie SCH.</t>
  </si>
  <si>
    <t>Sectie TOA.</t>
  </si>
  <si>
    <t>Sectie TECH.</t>
  </si>
  <si>
    <t>Sectie VMBO.</t>
  </si>
  <si>
    <t>Sectie NLT.</t>
  </si>
  <si>
    <t xml:space="preserve">ARBO - Bovenbw - Duurzaamheid - Financiën - Jong NVON - NVON-Reeks - Onderbw - Ponvon - Vakb.act. - Wet. Oriënt. </t>
  </si>
  <si>
    <r>
      <t>Instructie voor het invullen</t>
    </r>
    <r>
      <rPr>
        <b/>
        <sz val="16"/>
        <color indexed="8"/>
        <rFont val="Arial"/>
        <family val="2"/>
      </rPr>
      <t xml:space="preserve"> Reiskostenformulier en presentielijst</t>
    </r>
  </si>
  <si>
    <t>Reiskostenformulier en presentielijst</t>
  </si>
  <si>
    <t>Gelegenheid:</t>
  </si>
  <si>
    <t>Telefoon / 06-nr:</t>
  </si>
  <si>
    <t>Plaats:</t>
  </si>
  <si>
    <t>Gegevens</t>
  </si>
  <si>
    <t xml:space="preserve">  Naam</t>
  </si>
  <si>
    <t>Postcode</t>
  </si>
  <si>
    <t>Woonplaats</t>
  </si>
  <si>
    <t>Aantal km</t>
  </si>
  <si>
    <t>Openb.verv.</t>
  </si>
  <si>
    <t>Parkeerkn.</t>
  </si>
  <si>
    <t>Subtotaal</t>
  </si>
  <si>
    <t>Vacatiegeld</t>
  </si>
  <si>
    <t>Totaal in €</t>
  </si>
  <si>
    <t>IBAN bankrekeningnummer</t>
  </si>
  <si>
    <t>NLXX</t>
  </si>
  <si>
    <t>XXXX</t>
  </si>
  <si>
    <t>XX</t>
  </si>
  <si>
    <t>2) Openbaar vervoer o.b.v. heen- en terugreis per 2e klas</t>
  </si>
  <si>
    <t>1) Aantal  kilometers o.b.v. heen- en terugreis; vergoeding per km € 0,23</t>
  </si>
  <si>
    <t>3) Parkeerkosten boven  € 5  -&gt;  origineel bewijs opsturen naar boekhouder; maximale vergoeding per keer € 20</t>
  </si>
  <si>
    <t>voorzitter</t>
  </si>
  <si>
    <t>notulist</t>
  </si>
  <si>
    <t>Voorzitter / Notulist / GOVAK</t>
  </si>
  <si>
    <t>GOVAK_medewerker</t>
  </si>
  <si>
    <t>Vergoeding vz./not.</t>
  </si>
  <si>
    <t>Budgethouder:</t>
  </si>
  <si>
    <t>aanwezig</t>
  </si>
  <si>
    <t>afwezig</t>
  </si>
  <si>
    <t xml:space="preserve">Boekstuknummer: </t>
  </si>
  <si>
    <t>Het 'Reiskostenformulier en presentielijst' bestaat uit een aantal tabbladen. Voor de declarant zijn alleen de eerste drie van belang.</t>
  </si>
  <si>
    <t>In tabblad 'Instructie' staat uitleg over het invullen van het 'Reiskostenformulier en presentielijst'.</t>
  </si>
  <si>
    <t>Op het tabblad "Gegevens" vult u de gegevens van de geleding van de NVON in. Het tabblad is beveiligd. U kunt alleen de witte vakjes invullen. Met de &lt;tab&gt; of de pijltjes toetsen kunt u naar het volgende witte vakje springen.Uw lidnummer is terug te vinden op uw ledenpas en op het adresetiket bij uw exemplaar van de NVOX/Terugkoppeling.</t>
  </si>
  <si>
    <t>Het IBAN bankrekening nummer moet in het format NLXX XXXX XXXX XXXX XX worden opgegeven. In de eerste vier hokjes van het bankrekeningnummer passen 4 tekens, in het laatste hokje 2 tekens.</t>
  </si>
  <si>
    <t>Als u het werkblad "Gegevens" hebt ingevuld, bewaar deze dan digitaal. Dan hoeft u deze gegevens maar één keer in te vullen (tenzij hierin iets verandert).</t>
  </si>
  <si>
    <t>Nu kunt u het tabblad "Reiskosten en presentie" invullen.</t>
  </si>
  <si>
    <t>Datum:</t>
  </si>
  <si>
    <r>
      <rPr>
        <b/>
        <sz val="12"/>
        <color rgb="FFFF0000"/>
        <rFont val="Arial"/>
        <family val="2"/>
      </rPr>
      <t xml:space="preserve"> LET OP</t>
    </r>
    <r>
      <rPr>
        <sz val="12"/>
        <color rgb="FF000000"/>
        <rFont val="Arial"/>
        <family val="2"/>
      </rPr>
      <t xml:space="preserve"> de juiste datum; deze </t>
    </r>
    <r>
      <rPr>
        <b/>
        <sz val="12"/>
        <color rgb="FFFF0000"/>
        <rFont val="Arial"/>
        <family val="2"/>
      </rPr>
      <t>moet</t>
    </r>
    <r>
      <rPr>
        <sz val="12"/>
        <color rgb="FF000000"/>
        <rFont val="Arial"/>
        <family val="2"/>
      </rPr>
      <t xml:space="preserve"> overeen komen met de datum in de bijbehorende notulen.</t>
    </r>
  </si>
  <si>
    <r>
      <t xml:space="preserve">U </t>
    </r>
    <r>
      <rPr>
        <b/>
        <sz val="12"/>
        <color rgb="FFFF0000"/>
        <rFont val="Arial"/>
        <family val="2"/>
      </rPr>
      <t xml:space="preserve">mailt </t>
    </r>
    <r>
      <rPr>
        <sz val="12"/>
        <color indexed="8"/>
        <rFont val="Arial"/>
        <family val="2"/>
      </rPr>
      <t xml:space="preserve">de ondertekende  'Reiskostenformulier en presentielijst' spreadsheet, </t>
    </r>
    <r>
      <rPr>
        <b/>
        <sz val="12"/>
        <color rgb="FFFF0000"/>
        <rFont val="Arial"/>
        <family val="2"/>
      </rPr>
      <t>samen met de notulen van de vergadering</t>
    </r>
    <r>
      <rPr>
        <sz val="12"/>
        <color indexed="8"/>
        <rFont val="Arial"/>
        <family val="2"/>
      </rPr>
      <t xml:space="preserve"> naar de financiële administratie. Uitprinten en opsturen van het 'Reiskostenformulier en presentielijst' is dus niet meer nodig!</t>
    </r>
  </si>
  <si>
    <r>
      <rPr>
        <b/>
        <sz val="12"/>
        <color rgb="FFFF0000"/>
        <rFont val="Arial"/>
        <family val="2"/>
      </rPr>
      <t>LET OP</t>
    </r>
    <r>
      <rPr>
        <sz val="12"/>
        <color rgb="FF000000"/>
        <rFont val="Arial"/>
        <family val="2"/>
      </rPr>
      <t xml:space="preserve">: de deelnemers volgens de presentielijst </t>
    </r>
    <r>
      <rPr>
        <b/>
        <sz val="12"/>
        <color rgb="FFFF0000"/>
        <rFont val="Arial"/>
        <family val="2"/>
      </rPr>
      <t>moeten</t>
    </r>
    <r>
      <rPr>
        <sz val="12"/>
        <color rgb="FF000000"/>
        <rFont val="Arial"/>
        <family val="2"/>
      </rPr>
      <t xml:space="preserve"> overeen komen met de deelnemers volgens de notulen.</t>
    </r>
  </si>
  <si>
    <t>U vult de naam, postcode en plaats van alle deelnemers in.</t>
  </si>
  <si>
    <t>In het hokje onder voorzitter/notulist/GOVAK kunt u aangeven of de aanwezige de voorzitter, notulist of een medewerker die valt onder de GOVAK-regeling is. De voorzitter en de notulist ontvangen €17 vergoeding in verband met hun functie, bovenop de €18 aan vacatiegelden die elke deelnemer ontvangt. Een medewerker die valt onder de GOVAK regeling ontvangt alleen reiskosten.</t>
  </si>
  <si>
    <t xml:space="preserve"> </t>
  </si>
  <si>
    <r>
      <t xml:space="preserve">In het hokje onder de naam staat een dropdownmenu waarin u kunt aangeven of iemand aan- of afwezig is. Vergeet niet om de alle deelnemers op </t>
    </r>
    <r>
      <rPr>
        <b/>
        <sz val="12"/>
        <color rgb="FFFF0000"/>
        <rFont val="Arial"/>
        <family val="2"/>
      </rPr>
      <t>aanwezig</t>
    </r>
    <r>
      <rPr>
        <sz val="12"/>
        <color rgb="FF000000"/>
        <rFont val="Arial"/>
        <family val="2"/>
      </rPr>
      <t xml:space="preserve"> te zetten, want anders worden de vacatiegelden niet berekend. De gegevens van degenen die dit keer afwezig zijn kunt u laten staan. Selecteer in het dropdownmenu dan wel </t>
    </r>
    <r>
      <rPr>
        <b/>
        <sz val="12"/>
        <color rgb="FFFF0000"/>
        <rFont val="Arial"/>
        <family val="2"/>
      </rPr>
      <t>afwezig</t>
    </r>
    <r>
      <rPr>
        <sz val="12"/>
        <color rgb="FF000000"/>
        <rFont val="Arial"/>
        <family val="2"/>
      </rPr>
      <t xml:space="preserve"> en let er op dat dit ook wordt aangegeven in de bijbehorende notulen.</t>
    </r>
  </si>
  <si>
    <t>Huib van Drooge</t>
  </si>
  <si>
    <t>Freek Pols</t>
  </si>
  <si>
    <t>2645 GK</t>
  </si>
  <si>
    <t>Delfgauw</t>
  </si>
  <si>
    <t>Ed van den Berg</t>
  </si>
  <si>
    <t>NL42</t>
  </si>
  <si>
    <t>INGB</t>
  </si>
  <si>
    <t>0007</t>
  </si>
  <si>
    <t>9483</t>
  </si>
  <si>
    <t>17</t>
  </si>
  <si>
    <t>Vergadering boek Pocketdemo's</t>
  </si>
  <si>
    <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</si>
</sst>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4" x14ac:knownFonts="1">
    <font>
      <sz val="10"/>
      <color rgb="FF000000"/>
      <name val="Arial"/>
    </font>
    <font>
      <sz val="12"/>
      <color indexed="8"/>
      <name val="Arial"/>
      <family val="2"/>
    </font>
    <font>
      <sz val="8"/>
      <name val="Arial"/>
      <family val="2"/>
    </font>
    <font>
      <b/>
      <sz val="16"/>
      <color indexed="8"/>
      <name val="Arial"/>
      <family val="2"/>
    </font>
    <font>
      <sz val="12"/>
      <color rgb="FF000000"/>
      <name val="Arial"/>
      <family val="2"/>
    </font>
    <font>
      <sz val="12"/>
      <color rgb="FF000000"/>
      <name val="Arial"/>
      <family val="2"/>
    </font>
    <font>
      <b/>
      <sz val="12"/>
      <color rgb="FF000000"/>
      <name val="Arial"/>
      <family val="2"/>
    </font>
    <font>
      <b/>
      <sz val="12"/>
      <color rgb="FFFF0000"/>
      <name val="Arial"/>
      <family val="2"/>
    </font>
    <font>
      <sz val="12"/>
      <color rgb="FFFF0000"/>
      <name val="Arial"/>
      <family val="2"/>
    </font>
    <font>
      <b/>
      <u/>
      <sz val="12"/>
      <color rgb="FFFF0000"/>
      <name val="Arial"/>
      <family val="2"/>
    </font>
    <font>
      <u/>
      <sz val="12"/>
      <color rgb="FFFF0000"/>
      <name val="Arial"/>
      <family val="2"/>
    </font>
    <font>
      <u/>
      <sz val="14"/>
      <color rgb="FF000000"/>
      <name val="Arial"/>
      <family val="2"/>
    </font>
    <font>
      <sz val="10"/>
      <color rgb="FF000000"/>
      <name val="Arial"/>
      <family val="2"/>
    </font>
    <font>
      <b/>
      <sz val="10"/>
      <color rgb="FF000000"/>
      <name val="Arial"/>
      <family val="2"/>
    </font>
    <font>
      <b/>
      <sz val="16"/>
      <color rgb="FF000000"/>
      <name val="Arial"/>
      <family val="2"/>
    </font>
    <font>
      <i/>
      <sz val="12"/>
      <color rgb="FF000000"/>
      <name val="Arial"/>
      <family val="2"/>
    </font>
    <font>
      <b/>
      <sz val="12"/>
      <color rgb="FF0000FF"/>
      <name val="Arial"/>
      <family val="2"/>
    </font>
    <font>
      <b/>
      <i/>
      <sz val="12"/>
      <color rgb="FF000000"/>
      <name val="Arial"/>
      <family val="2"/>
    </font>
    <font>
      <b/>
      <sz val="18"/>
      <color rgb="FFFF0000"/>
      <name val="Arial"/>
      <family val="2"/>
    </font>
    <font>
      <b/>
      <sz val="18"/>
      <color rgb="FF000000"/>
      <name val="Arial"/>
      <family val="2"/>
    </font>
    <font>
      <sz val="10"/>
      <color rgb="FFDAEEF3"/>
      <name val="Arial"/>
      <family val="2"/>
    </font>
    <font>
      <sz val="12"/>
      <color rgb="FFDAEEF3"/>
      <name val="Arial"/>
      <family val="2"/>
    </font>
    <font>
      <sz val="12"/>
      <color rgb="FFEBF1DE"/>
      <name val="Arial"/>
      <family val="2"/>
    </font>
    <font>
      <sz val="14"/>
      <color rgb="FF000000"/>
      <name val="Arial"/>
      <family val="2"/>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EBF1DE"/>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1">
    <xf numFmtId="0" fontId="0" fillId="0" borderId="0" xfId="0"/>
    <xf numFmtId="0" fontId="12" fillId="0" borderId="0" xfId="0" applyFont="1"/>
    <xf numFmtId="0" fontId="13" fillId="0" borderId="0" xfId="0" applyFont="1"/>
    <xf numFmtId="0" fontId="0" fillId="0" borderId="0" xfId="0" applyAlignment="1">
      <alignment wrapText="1" shrinkToFit="1"/>
    </xf>
    <xf numFmtId="0" fontId="4" fillId="2" borderId="16" xfId="0" applyFont="1" applyFill="1" applyBorder="1" applyAlignment="1" applyProtection="1">
      <alignment horizontal="center"/>
      <protection locked="0"/>
    </xf>
    <xf numFmtId="0" fontId="4" fillId="2" borderId="15" xfId="0" applyFont="1" applyFill="1" applyBorder="1" applyAlignment="1" applyProtection="1">
      <alignment horizontal="center"/>
      <protection locked="0"/>
    </xf>
    <xf numFmtId="44" fontId="4" fillId="2" borderId="15"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center"/>
      <protection locked="0"/>
    </xf>
    <xf numFmtId="49" fontId="4" fillId="2" borderId="2" xfId="0" applyNumberFormat="1" applyFont="1" applyFill="1" applyBorder="1" applyAlignment="1" applyProtection="1">
      <alignment horizontal="center"/>
      <protection locked="0"/>
    </xf>
    <xf numFmtId="49" fontId="7" fillId="2" borderId="17" xfId="0" applyNumberFormat="1" applyFont="1" applyFill="1" applyBorder="1" applyAlignment="1" applyProtection="1">
      <alignment horizontal="right" indent="1"/>
      <protection locked="0"/>
    </xf>
    <xf numFmtId="49" fontId="4" fillId="2" borderId="3" xfId="0" applyNumberFormat="1" applyFont="1" applyFill="1" applyBorder="1" applyAlignment="1" applyProtection="1">
      <alignment horizontal="center"/>
      <protection locked="0"/>
    </xf>
    <xf numFmtId="49" fontId="5" fillId="4" borderId="0" xfId="0" applyNumberFormat="1" applyFont="1" applyFill="1" applyAlignment="1">
      <alignment horizontal="left" vertical="top" wrapText="1"/>
    </xf>
    <xf numFmtId="0" fontId="5" fillId="4" borderId="0" xfId="0" applyFont="1" applyFill="1"/>
    <xf numFmtId="0" fontId="0" fillId="4" borderId="0" xfId="0" applyFill="1"/>
    <xf numFmtId="49" fontId="5" fillId="4" borderId="0" xfId="0" applyNumberFormat="1" applyFont="1" applyFill="1" applyAlignment="1">
      <alignment horizontal="center"/>
    </xf>
    <xf numFmtId="49" fontId="5" fillId="4" borderId="0" xfId="0" applyNumberFormat="1" applyFont="1" applyFill="1"/>
    <xf numFmtId="49" fontId="6" fillId="4" borderId="0" xfId="0" applyNumberFormat="1" applyFont="1" applyFill="1" applyAlignment="1">
      <alignment horizontal="right"/>
    </xf>
    <xf numFmtId="49" fontId="6" fillId="4" borderId="4" xfId="0" applyNumberFormat="1" applyFont="1" applyFill="1" applyBorder="1"/>
    <xf numFmtId="49" fontId="4" fillId="4" borderId="4" xfId="0" applyNumberFormat="1" applyFont="1" applyFill="1" applyBorder="1" applyAlignment="1">
      <alignment horizontal="center"/>
    </xf>
    <xf numFmtId="49" fontId="6" fillId="4" borderId="0" xfId="0" applyNumberFormat="1" applyFont="1" applyFill="1"/>
    <xf numFmtId="0" fontId="6" fillId="4" borderId="0" xfId="0" applyFont="1" applyFill="1" applyAlignment="1">
      <alignment horizontal="right"/>
    </xf>
    <xf numFmtId="0" fontId="4" fillId="4" borderId="0" xfId="0" applyFont="1" applyFill="1"/>
    <xf numFmtId="49" fontId="9" fillId="4" borderId="0" xfId="0" applyNumberFormat="1" applyFont="1" applyFill="1"/>
    <xf numFmtId="49" fontId="8" fillId="4" borderId="0" xfId="0" applyNumberFormat="1" applyFont="1" applyFill="1"/>
    <xf numFmtId="49" fontId="7" fillId="4" borderId="0" xfId="0" applyNumberFormat="1" applyFont="1" applyFill="1"/>
    <xf numFmtId="49" fontId="10" fillId="4" borderId="0" xfId="0" applyNumberFormat="1" applyFont="1" applyFill="1"/>
    <xf numFmtId="0" fontId="6" fillId="4" borderId="0" xfId="0" applyFont="1" applyFill="1"/>
    <xf numFmtId="0" fontId="13" fillId="4" borderId="0" xfId="0" applyFont="1" applyFill="1"/>
    <xf numFmtId="0" fontId="12" fillId="4" borderId="0" xfId="0" applyFont="1" applyFill="1"/>
    <xf numFmtId="49" fontId="5" fillId="3" borderId="0" xfId="0" applyNumberFormat="1" applyFont="1" applyFill="1" applyAlignment="1">
      <alignment horizontal="left" vertical="top" wrapText="1"/>
    </xf>
    <xf numFmtId="0" fontId="22" fillId="4" borderId="0" xfId="0" applyFont="1" applyFill="1" applyAlignment="1">
      <alignment horizontal="left" vertical="center" wrapText="1"/>
    </xf>
    <xf numFmtId="0" fontId="20" fillId="3" borderId="0" xfId="0" applyFont="1" applyFill="1"/>
    <xf numFmtId="0" fontId="0" fillId="3" borderId="0" xfId="0" applyFill="1"/>
    <xf numFmtId="0" fontId="21" fillId="3" borderId="0" xfId="0" applyFont="1" applyFill="1"/>
    <xf numFmtId="0" fontId="4" fillId="3" borderId="0" xfId="0" applyFont="1" applyFill="1"/>
    <xf numFmtId="0" fontId="6" fillId="3" borderId="15" xfId="0" applyFont="1" applyFill="1" applyBorder="1" applyAlignment="1">
      <alignment horizontal="center"/>
    </xf>
    <xf numFmtId="0" fontId="6" fillId="3" borderId="15" xfId="0" applyFont="1" applyFill="1" applyBorder="1" applyAlignment="1">
      <alignment horizontal="center" wrapText="1"/>
    </xf>
    <xf numFmtId="0" fontId="6" fillId="4" borderId="15" xfId="0" applyFont="1" applyFill="1" applyBorder="1" applyAlignment="1">
      <alignment horizontal="center"/>
    </xf>
    <xf numFmtId="0" fontId="4" fillId="4" borderId="0" xfId="0" applyFont="1" applyFill="1" applyAlignment="1">
      <alignment horizontal="left" vertical="center" wrapText="1"/>
    </xf>
    <xf numFmtId="164" fontId="4" fillId="4" borderId="15" xfId="0" applyNumberFormat="1" applyFont="1" applyFill="1" applyBorder="1" applyAlignment="1">
      <alignment horizontal="center"/>
    </xf>
    <xf numFmtId="44" fontId="4" fillId="4" borderId="15" xfId="0" applyNumberFormat="1" applyFont="1" applyFill="1" applyBorder="1" applyAlignment="1">
      <alignment horizontal="center"/>
    </xf>
    <xf numFmtId="0" fontId="4" fillId="3" borderId="0" xfId="0" applyFont="1" applyFill="1" applyAlignment="1">
      <alignment horizontal="left" vertical="center" wrapText="1"/>
    </xf>
    <xf numFmtId="49" fontId="4" fillId="4" borderId="1" xfId="0" applyNumberFormat="1" applyFont="1" applyFill="1" applyBorder="1" applyAlignment="1">
      <alignment horizontal="center"/>
    </xf>
    <xf numFmtId="49" fontId="4" fillId="4" borderId="2" xfId="0" applyNumberFormat="1" applyFont="1" applyFill="1" applyBorder="1" applyAlignment="1">
      <alignment horizontal="center"/>
    </xf>
    <xf numFmtId="49" fontId="4" fillId="4" borderId="3" xfId="0" applyNumberFormat="1" applyFont="1" applyFill="1" applyBorder="1" applyAlignment="1">
      <alignment horizontal="center"/>
    </xf>
    <xf numFmtId="0" fontId="5" fillId="3" borderId="0" xfId="0" applyFont="1" applyFill="1"/>
    <xf numFmtId="0" fontId="4" fillId="0" borderId="0" xfId="0" applyFont="1" applyAlignment="1">
      <alignment horizontal="left"/>
    </xf>
    <xf numFmtId="0" fontId="4" fillId="0" borderId="0" xfId="0" applyFont="1" applyAlignment="1">
      <alignment horizontal="center"/>
    </xf>
    <xf numFmtId="0" fontId="6" fillId="0" borderId="0" xfId="0" applyFont="1" applyAlignment="1">
      <alignment horizontal="left"/>
    </xf>
    <xf numFmtId="0" fontId="6" fillId="0" borderId="0" xfId="0" applyFont="1"/>
    <xf numFmtId="0" fontId="4" fillId="0" borderId="0" xfId="0" applyFont="1"/>
    <xf numFmtId="0" fontId="12" fillId="0" borderId="0" xfId="0" applyFont="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23" fillId="0" borderId="0" xfId="0" applyFont="1" applyAlignment="1">
      <alignment horizontal="center" vertical="center"/>
    </xf>
    <xf numFmtId="0" fontId="18" fillId="0" borderId="0" xfId="0" applyFont="1" applyAlignment="1">
      <alignment horizontal="center" vertical="center"/>
    </xf>
    <xf numFmtId="164" fontId="4" fillId="0" borderId="0" xfId="0" applyNumberFormat="1" applyFont="1" applyAlignment="1">
      <alignment horizontal="center" vertical="center"/>
    </xf>
    <xf numFmtId="0" fontId="23" fillId="0" borderId="0" xfId="0" applyFont="1" applyAlignment="1">
      <alignment horizontal="center"/>
    </xf>
    <xf numFmtId="164" fontId="4" fillId="0" borderId="0" xfId="0" applyNumberFormat="1" applyFont="1" applyAlignment="1">
      <alignment horizontal="center"/>
    </xf>
    <xf numFmtId="44" fontId="4" fillId="0" borderId="0" xfId="0" applyNumberFormat="1" applyFont="1"/>
    <xf numFmtId="44" fontId="4" fillId="0" borderId="0" xfId="0" applyNumberFormat="1" applyFont="1" applyAlignment="1">
      <alignment horizontal="center"/>
    </xf>
    <xf numFmtId="44" fontId="6" fillId="0" borderId="0" xfId="0" applyNumberFormat="1" applyFont="1"/>
    <xf numFmtId="0" fontId="12" fillId="0" borderId="0" xfId="0" applyFont="1" applyAlignment="1">
      <alignment horizontal="left"/>
    </xf>
    <xf numFmtId="0" fontId="4" fillId="0" borderId="0" xfId="0" applyFont="1" applyAlignment="1">
      <alignment horizontal="left"/>
    </xf>
    <xf numFmtId="49" fontId="5" fillId="0" borderId="0" xfId="0" applyNumberFormat="1" applyFont="1" applyAlignment="1">
      <alignment horizontal="left"/>
    </xf>
    <xf numFmtId="49" fontId="4" fillId="0" borderId="0" xfId="0" applyNumberFormat="1" applyFont="1" applyAlignment="1">
      <alignment horizontal="left"/>
    </xf>
    <xf numFmtId="0" fontId="4" fillId="0" borderId="0" xfId="0" applyFont="1" applyAlignment="1">
      <alignment horizontal="left" wrapText="1"/>
    </xf>
    <xf numFmtId="0" fontId="5" fillId="0" borderId="0" xfId="0" applyFont="1" applyAlignment="1">
      <alignment horizontal="left" wrapText="1"/>
    </xf>
    <xf numFmtId="49" fontId="5" fillId="0" borderId="0" xfId="0" applyNumberFormat="1" applyFont="1" applyAlignment="1">
      <alignment horizontal="center"/>
    </xf>
    <xf numFmtId="49" fontId="15" fillId="0" borderId="0" xfId="0" applyNumberFormat="1" applyFont="1" applyAlignment="1">
      <alignment horizontal="left"/>
    </xf>
    <xf numFmtId="49" fontId="4" fillId="0" borderId="0" xfId="0" applyNumberFormat="1" applyFont="1" applyAlignment="1">
      <alignment horizontal="left" wrapText="1"/>
    </xf>
    <xf numFmtId="0" fontId="4" fillId="0" borderId="0" xfId="0" applyFont="1" applyAlignment="1">
      <alignment horizontal="center"/>
    </xf>
    <xf numFmtId="0" fontId="5" fillId="0" borderId="0" xfId="0" applyFont="1" applyAlignment="1">
      <alignment horizontal="left"/>
    </xf>
    <xf numFmtId="0" fontId="11" fillId="0" borderId="0" xfId="0" applyFont="1" applyAlignment="1">
      <alignment horizontal="left"/>
    </xf>
    <xf numFmtId="0" fontId="5" fillId="0" borderId="0" xfId="0" applyFont="1" applyAlignment="1">
      <alignment horizontal="center"/>
    </xf>
    <xf numFmtId="0" fontId="4" fillId="0" borderId="0" xfId="0" applyFont="1" applyAlignment="1">
      <alignment horizontal="left" wrapText="1" shrinkToFit="1"/>
    </xf>
    <xf numFmtId="0" fontId="5" fillId="0" borderId="0" xfId="0" applyFont="1" applyAlignment="1">
      <alignment horizontal="left" wrapText="1" shrinkToFit="1"/>
    </xf>
    <xf numFmtId="49" fontId="4" fillId="0" borderId="0" xfId="0" applyNumberFormat="1" applyFont="1" applyAlignment="1">
      <alignment horizontal="center" wrapText="1"/>
    </xf>
    <xf numFmtId="0" fontId="6" fillId="0" borderId="0" xfId="0" applyFont="1" applyAlignment="1">
      <alignment horizontal="left"/>
    </xf>
    <xf numFmtId="0" fontId="0" fillId="0" borderId="0" xfId="0" applyAlignment="1">
      <alignment horizontal="center"/>
    </xf>
    <xf numFmtId="0" fontId="4" fillId="0" borderId="0" xfId="0" applyFont="1" applyAlignment="1">
      <alignment horizontal="center" wrapText="1" shrinkToFit="1"/>
    </xf>
    <xf numFmtId="0" fontId="0" fillId="0" borderId="0" xfId="0" applyAlignment="1">
      <alignment horizontal="right"/>
    </xf>
    <xf numFmtId="49" fontId="7" fillId="0" borderId="0" xfId="0" applyNumberFormat="1" applyFont="1" applyAlignment="1">
      <alignment horizontal="center" vertical="top"/>
    </xf>
    <xf numFmtId="49" fontId="4" fillId="0" borderId="0" xfId="0" applyNumberFormat="1" applyFont="1" applyAlignment="1">
      <alignment horizontal="left" vertical="top" wrapText="1"/>
    </xf>
    <xf numFmtId="49" fontId="5" fillId="0" borderId="0" xfId="0" applyNumberFormat="1" applyFont="1" applyAlignment="1">
      <alignment horizontal="left" vertical="top" wrapText="1"/>
    </xf>
    <xf numFmtId="49" fontId="4" fillId="0" borderId="0" xfId="0" applyNumberFormat="1" applyFont="1" applyAlignment="1">
      <alignment horizontal="center"/>
    </xf>
    <xf numFmtId="49" fontId="5" fillId="0" borderId="0" xfId="0" applyNumberFormat="1" applyFont="1" applyAlignment="1">
      <alignment horizontal="left" wrapText="1"/>
    </xf>
    <xf numFmtId="49" fontId="5" fillId="0" borderId="0" xfId="0" applyNumberFormat="1" applyFont="1" applyAlignment="1">
      <alignment horizontal="center" wrapText="1"/>
    </xf>
    <xf numFmtId="49" fontId="4" fillId="0" borderId="0" xfId="0" applyNumberFormat="1" applyFont="1" applyAlignment="1">
      <alignment horizontal="right" vertical="top"/>
    </xf>
    <xf numFmtId="49" fontId="5" fillId="0" borderId="0" xfId="0" applyNumberFormat="1" applyFont="1" applyAlignment="1">
      <alignment horizontal="right" vertical="top"/>
    </xf>
    <xf numFmtId="0" fontId="4" fillId="0" borderId="0" xfId="0" applyFont="1" applyAlignment="1">
      <alignment horizontal="left" vertical="top" wrapText="1"/>
    </xf>
    <xf numFmtId="49" fontId="5" fillId="4" borderId="0" xfId="0" applyNumberFormat="1" applyFont="1" applyFill="1" applyAlignment="1">
      <alignment horizontal="center"/>
    </xf>
    <xf numFmtId="0" fontId="5" fillId="4" borderId="0" xfId="0" applyFont="1" applyFill="1" applyAlignment="1">
      <alignment horizontal="center"/>
    </xf>
    <xf numFmtId="49" fontId="4" fillId="2" borderId="1" xfId="0" applyNumberFormat="1" applyFont="1" applyFill="1" applyBorder="1" applyAlignment="1" applyProtection="1">
      <alignment horizontal="center"/>
      <protection locked="0"/>
    </xf>
    <xf numFmtId="49" fontId="4" fillId="2" borderId="2" xfId="0" applyNumberFormat="1" applyFont="1" applyFill="1" applyBorder="1" applyAlignment="1" applyProtection="1">
      <alignment horizontal="center"/>
      <protection locked="0"/>
    </xf>
    <xf numFmtId="49" fontId="4" fillId="2" borderId="15" xfId="0" applyNumberFormat="1"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0" xfId="0" applyFont="1" applyFill="1" applyAlignment="1">
      <alignment horizontal="center"/>
    </xf>
    <xf numFmtId="0" fontId="5" fillId="2" borderId="1" xfId="0" applyFont="1" applyFill="1" applyBorder="1" applyAlignment="1" applyProtection="1">
      <alignment horizontal="center"/>
      <protection locked="0"/>
    </xf>
    <xf numFmtId="0" fontId="5" fillId="2" borderId="3" xfId="0" applyFont="1" applyFill="1" applyBorder="1" applyAlignment="1" applyProtection="1">
      <alignment horizontal="center"/>
      <protection locked="0"/>
    </xf>
    <xf numFmtId="49" fontId="5" fillId="2" borderId="1" xfId="0" applyNumberFormat="1" applyFont="1" applyFill="1" applyBorder="1" applyAlignment="1" applyProtection="1">
      <alignment horizontal="center"/>
      <protection locked="0"/>
    </xf>
    <xf numFmtId="49" fontId="5" fillId="2" borderId="3" xfId="0" applyNumberFormat="1" applyFont="1" applyFill="1" applyBorder="1" applyAlignment="1" applyProtection="1">
      <alignment horizontal="center"/>
      <protection locked="0"/>
    </xf>
    <xf numFmtId="0" fontId="6" fillId="4" borderId="4" xfId="0" applyFont="1" applyFill="1" applyBorder="1" applyAlignment="1">
      <alignment horizontal="right"/>
    </xf>
    <xf numFmtId="0" fontId="6" fillId="4" borderId="5" xfId="0" applyFont="1" applyFill="1" applyBorder="1" applyAlignment="1">
      <alignment horizontal="right"/>
    </xf>
    <xf numFmtId="49" fontId="6" fillId="4" borderId="4" xfId="0" applyNumberFormat="1" applyFont="1" applyFill="1" applyBorder="1" applyAlignment="1">
      <alignment horizontal="right"/>
    </xf>
    <xf numFmtId="49" fontId="6" fillId="4" borderId="5" xfId="0" applyNumberFormat="1" applyFont="1" applyFill="1" applyBorder="1" applyAlignment="1">
      <alignment horizontal="right"/>
    </xf>
    <xf numFmtId="49" fontId="5" fillId="2" borderId="2" xfId="0" applyNumberFormat="1" applyFont="1" applyFill="1" applyBorder="1" applyAlignment="1" applyProtection="1">
      <alignment horizontal="center"/>
      <protection locked="0"/>
    </xf>
    <xf numFmtId="49" fontId="19" fillId="4" borderId="0" xfId="0" applyNumberFormat="1" applyFont="1" applyFill="1" applyAlignment="1">
      <alignment horizontal="center"/>
    </xf>
    <xf numFmtId="49" fontId="6" fillId="4" borderId="0" xfId="0" applyNumberFormat="1" applyFont="1" applyFill="1" applyAlignment="1">
      <alignment horizontal="center"/>
    </xf>
    <xf numFmtId="0" fontId="6" fillId="4" borderId="4" xfId="0" applyFont="1" applyFill="1" applyBorder="1" applyAlignment="1">
      <alignment horizontal="left"/>
    </xf>
    <xf numFmtId="0" fontId="6" fillId="4" borderId="0" xfId="0" applyFont="1" applyFill="1" applyAlignment="1">
      <alignment horizontal="left"/>
    </xf>
    <xf numFmtId="49" fontId="5" fillId="4" borderId="5" xfId="0" applyNumberFormat="1" applyFont="1" applyFill="1" applyBorder="1" applyAlignment="1">
      <alignment horizontal="center"/>
    </xf>
    <xf numFmtId="0" fontId="6" fillId="4" borderId="0" xfId="0" applyFont="1" applyFill="1" applyAlignment="1">
      <alignment horizontal="right"/>
    </xf>
    <xf numFmtId="49" fontId="5" fillId="2" borderId="6" xfId="0" applyNumberFormat="1" applyFont="1" applyFill="1" applyBorder="1" applyAlignment="1" applyProtection="1">
      <alignment horizontal="center"/>
      <protection locked="0"/>
    </xf>
    <xf numFmtId="49" fontId="5" fillId="2" borderId="7" xfId="0" applyNumberFormat="1" applyFont="1" applyFill="1" applyBorder="1" applyAlignment="1" applyProtection="1">
      <alignment horizontal="center"/>
      <protection locked="0"/>
    </xf>
    <xf numFmtId="49" fontId="5" fillId="2" borderId="8" xfId="0" applyNumberFormat="1" applyFont="1" applyFill="1" applyBorder="1" applyAlignment="1" applyProtection="1">
      <alignment horizontal="center"/>
      <protection locked="0"/>
    </xf>
    <xf numFmtId="49" fontId="5" fillId="2" borderId="4" xfId="0" applyNumberFormat="1" applyFont="1" applyFill="1" applyBorder="1" applyAlignment="1" applyProtection="1">
      <alignment horizontal="center"/>
      <protection locked="0"/>
    </xf>
    <xf numFmtId="49" fontId="5" fillId="2" borderId="0" xfId="0" applyNumberFormat="1" applyFont="1" applyFill="1" applyAlignment="1" applyProtection="1">
      <alignment horizontal="center"/>
      <protection locked="0"/>
    </xf>
    <xf numFmtId="49" fontId="5" fillId="2" borderId="5" xfId="0" applyNumberFormat="1" applyFont="1" applyFill="1" applyBorder="1" applyAlignment="1" applyProtection="1">
      <alignment horizontal="center"/>
      <protection locked="0"/>
    </xf>
    <xf numFmtId="49" fontId="5" fillId="2" borderId="9" xfId="0" applyNumberFormat="1" applyFont="1" applyFill="1" applyBorder="1" applyAlignment="1" applyProtection="1">
      <alignment horizontal="center"/>
      <protection locked="0"/>
    </xf>
    <xf numFmtId="49" fontId="5" fillId="2" borderId="10" xfId="0" applyNumberFormat="1" applyFont="1" applyFill="1" applyBorder="1" applyAlignment="1" applyProtection="1">
      <alignment horizontal="center"/>
      <protection locked="0"/>
    </xf>
    <xf numFmtId="49" fontId="5" fillId="2" borderId="11" xfId="0" applyNumberFormat="1" applyFont="1" applyFill="1" applyBorder="1" applyAlignment="1" applyProtection="1">
      <alignment horizontal="center"/>
      <protection locked="0"/>
    </xf>
    <xf numFmtId="0" fontId="4" fillId="2" borderId="1" xfId="0" applyFont="1" applyFill="1" applyBorder="1" applyAlignment="1" applyProtection="1">
      <alignment horizontal="center"/>
      <protection locked="0"/>
    </xf>
    <xf numFmtId="0" fontId="5" fillId="2" borderId="2" xfId="0" applyFont="1" applyFill="1" applyBorder="1" applyAlignment="1" applyProtection="1">
      <alignment horizontal="center"/>
      <protection locked="0"/>
    </xf>
    <xf numFmtId="49" fontId="6" fillId="4" borderId="4" xfId="0" applyNumberFormat="1" applyFont="1" applyFill="1" applyBorder="1" applyAlignment="1">
      <alignment horizontal="center"/>
    </xf>
    <xf numFmtId="1" fontId="4" fillId="2" borderId="15" xfId="0" applyNumberFormat="1" applyFont="1" applyFill="1" applyBorder="1" applyAlignment="1" applyProtection="1">
      <alignment horizontal="center"/>
      <protection locked="0"/>
    </xf>
    <xf numFmtId="0" fontId="4" fillId="4" borderId="15" xfId="0" applyFont="1" applyFill="1" applyBorder="1" applyAlignment="1">
      <alignment horizontal="left"/>
    </xf>
    <xf numFmtId="0" fontId="4" fillId="3" borderId="12"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49" fontId="14" fillId="3" borderId="0" xfId="0" applyNumberFormat="1" applyFont="1" applyFill="1" applyAlignment="1">
      <alignment horizontal="center"/>
    </xf>
    <xf numFmtId="49" fontId="14" fillId="3" borderId="5" xfId="0" applyNumberFormat="1" applyFont="1" applyFill="1" applyBorder="1" applyAlignment="1">
      <alignment horizontal="center"/>
    </xf>
    <xf numFmtId="0" fontId="6" fillId="0" borderId="0" xfId="0" applyFont="1" applyAlignment="1">
      <alignment horizontal="center"/>
    </xf>
    <xf numFmtId="0" fontId="6" fillId="0" borderId="0" xfId="0" applyFont="1" applyAlignment="1">
      <alignment horizontal="right" wrapText="1"/>
    </xf>
    <xf numFmtId="0" fontId="6" fillId="0" borderId="5" xfId="0" applyFont="1" applyBorder="1" applyAlignment="1">
      <alignment horizontal="right" wrapText="1"/>
    </xf>
    <xf numFmtId="0" fontId="6" fillId="0" borderId="0" xfId="0" applyFont="1"/>
    <xf numFmtId="0" fontId="12" fillId="0" borderId="6" xfId="0" applyFont="1" applyBorder="1" applyAlignment="1" applyProtection="1">
      <alignment horizontal="center"/>
      <protection locked="0"/>
    </xf>
    <xf numFmtId="0" fontId="12" fillId="0" borderId="7" xfId="0" applyFont="1" applyBorder="1" applyAlignment="1" applyProtection="1">
      <alignment horizontal="center"/>
      <protection locked="0"/>
    </xf>
    <xf numFmtId="0" fontId="12" fillId="0" borderId="8" xfId="0" applyFont="1" applyBorder="1" applyAlignment="1" applyProtection="1">
      <alignment horizontal="center"/>
      <protection locked="0"/>
    </xf>
    <xf numFmtId="0" fontId="12" fillId="0" borderId="4" xfId="0" applyFont="1" applyBorder="1" applyAlignment="1" applyProtection="1">
      <alignment horizontal="center"/>
      <protection locked="0"/>
    </xf>
    <xf numFmtId="0" fontId="12" fillId="0" borderId="0" xfId="0" applyFont="1" applyAlignment="1" applyProtection="1">
      <alignment horizontal="center"/>
      <protection locked="0"/>
    </xf>
    <xf numFmtId="0" fontId="12" fillId="0" borderId="5" xfId="0" applyFont="1" applyBorder="1" applyAlignment="1" applyProtection="1">
      <alignment horizontal="center"/>
      <protection locked="0"/>
    </xf>
    <xf numFmtId="0" fontId="12" fillId="0" borderId="12" xfId="0" applyFont="1" applyBorder="1" applyAlignment="1" applyProtection="1">
      <alignment horizontal="center"/>
      <protection locked="0"/>
    </xf>
    <xf numFmtId="0" fontId="12" fillId="0" borderId="13" xfId="0" applyFont="1" applyBorder="1" applyAlignment="1" applyProtection="1">
      <alignment horizontal="center"/>
      <protection locked="0"/>
    </xf>
    <xf numFmtId="0" fontId="12" fillId="0" borderId="14" xfId="0" applyFont="1" applyBorder="1" applyAlignment="1" applyProtection="1">
      <alignment horizontal="center"/>
      <protection locked="0"/>
    </xf>
  </cellXfs>
  <cellStyles count="1">
    <cellStyle name="Normal" xfId="0" builtinId="0"/>
  </cellStyles>
  <dxfs count="1">
    <dxf>
      <fill>
        <patternFill>
          <bgColor theme="0"/>
        </patternFill>
      </fill>
      <border>
        <left style="thin">
          <color auto="1"/>
        </left>
        <right style="thin">
          <color auto="1"/>
        </right>
        <top/>
        <bottom style="thin">
          <color auto="1"/>
        </bottom>
      </border>
    </dxf>
  </dxfs>
  <tableStyles count="0" defaultTableStyle="TableStyleMedium9"/>
  <colors>
    <mruColors>
      <color rgb="FFEBF1DE"/>
      <color rgb="FFDAEEF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3</xdr:row>
      <xdr:rowOff>22860</xdr:rowOff>
    </xdr:from>
    <xdr:to>
      <xdr:col>6</xdr:col>
      <xdr:colOff>114848</xdr:colOff>
      <xdr:row>4</xdr:row>
      <xdr:rowOff>175308</xdr:rowOff>
    </xdr:to>
    <xdr:pic>
      <xdr:nvPicPr>
        <xdr:cNvPr id="6" name="Afbeelding 5">
          <a:extLst>
            <a:ext uri="{FF2B5EF4-FFF2-40B4-BE49-F238E27FC236}">
              <a16:creationId xmlns:a16="http://schemas.microsoft.com/office/drawing/2014/main" id="{BB4E448C-5654-FF22-14BC-92CCA346F61D}"/>
            </a:ext>
          </a:extLst>
        </xdr:cNvPr>
        <xdr:cNvPicPr>
          <a:picLocks noChangeAspect="1"/>
        </xdr:cNvPicPr>
      </xdr:nvPicPr>
      <xdr:blipFill>
        <a:blip xmlns:r="http://schemas.openxmlformats.org/officeDocument/2006/relationships" r:embed="rId1"/>
        <a:stretch>
          <a:fillRect/>
        </a:stretch>
      </xdr:blipFill>
      <xdr:spPr>
        <a:xfrm>
          <a:off x="7620" y="670560"/>
          <a:ext cx="3924848" cy="342948"/>
        </a:xfrm>
        <a:prstGeom prst="rect">
          <a:avLst/>
        </a:prstGeom>
      </xdr:spPr>
    </xdr:pic>
    <xdr:clientData/>
  </xdr:twoCellAnchor>
  <xdr:twoCellAnchor editAs="oneCell">
    <xdr:from>
      <xdr:col>0</xdr:col>
      <xdr:colOff>0</xdr:colOff>
      <xdr:row>12</xdr:row>
      <xdr:rowOff>15240</xdr:rowOff>
    </xdr:from>
    <xdr:to>
      <xdr:col>3</xdr:col>
      <xdr:colOff>198428</xdr:colOff>
      <xdr:row>17</xdr:row>
      <xdr:rowOff>253664</xdr:rowOff>
    </xdr:to>
    <xdr:pic>
      <xdr:nvPicPr>
        <xdr:cNvPr id="2" name="Afbeelding 1">
          <a:extLst>
            <a:ext uri="{FF2B5EF4-FFF2-40B4-BE49-F238E27FC236}">
              <a16:creationId xmlns:a16="http://schemas.microsoft.com/office/drawing/2014/main" id="{8949E74E-86D2-51C5-5766-5812A4C4855D}"/>
            </a:ext>
          </a:extLst>
        </xdr:cNvPr>
        <xdr:cNvPicPr>
          <a:picLocks noChangeAspect="1"/>
        </xdr:cNvPicPr>
      </xdr:nvPicPr>
      <xdr:blipFill>
        <a:blip xmlns:r="http://schemas.openxmlformats.org/officeDocument/2006/relationships" r:embed="rId2"/>
        <a:stretch>
          <a:fillRect/>
        </a:stretch>
      </xdr:blipFill>
      <xdr:spPr>
        <a:xfrm>
          <a:off x="0" y="2926080"/>
          <a:ext cx="2210108" cy="2143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15240</xdr:rowOff>
    </xdr:from>
    <xdr:to>
      <xdr:col>0</xdr:col>
      <xdr:colOff>1504726</xdr:colOff>
      <xdr:row>1</xdr:row>
      <xdr:rowOff>15240</xdr:rowOff>
    </xdr:to>
    <xdr:pic>
      <xdr:nvPicPr>
        <xdr:cNvPr id="1063" name="Afbeelding 1">
          <a:extLst>
            <a:ext uri="{FF2B5EF4-FFF2-40B4-BE49-F238E27FC236}">
              <a16:creationId xmlns:a16="http://schemas.microsoft.com/office/drawing/2014/main" id="{00000000-0008-0000-0100-000027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 y="15240"/>
          <a:ext cx="15011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14</xdr:row>
      <xdr:rowOff>0</xdr:rowOff>
    </xdr:from>
    <xdr:to>
      <xdr:col>10</xdr:col>
      <xdr:colOff>475727</xdr:colOff>
      <xdr:row>19</xdr:row>
      <xdr:rowOff>71927</xdr:rowOff>
    </xdr:to>
    <xdr:pic>
      <xdr:nvPicPr>
        <xdr:cNvPr id="3" name="Afbeelding 2">
          <a:extLst>
            <a:ext uri="{FF2B5EF4-FFF2-40B4-BE49-F238E27FC236}">
              <a16:creationId xmlns:a16="http://schemas.microsoft.com/office/drawing/2014/main" id="{912C0744-C7BF-83B7-1753-C83DE6CA13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14471" y="3399118"/>
          <a:ext cx="2926080" cy="12298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536539</xdr:colOff>
      <xdr:row>0</xdr:row>
      <xdr:rowOff>15240</xdr:rowOff>
    </xdr:from>
    <xdr:to>
      <xdr:col>1</xdr:col>
      <xdr:colOff>1433010</xdr:colOff>
      <xdr:row>0</xdr:row>
      <xdr:rowOff>400722</xdr:rowOff>
    </xdr:to>
    <xdr:pic>
      <xdr:nvPicPr>
        <xdr:cNvPr id="2" name="Afbeelding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539" y="15240"/>
          <a:ext cx="1497106" cy="385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2"/>
  <dimension ref="A1:R55"/>
  <sheetViews>
    <sheetView workbookViewId="0">
      <selection activeCell="A9" sqref="A9:Q9"/>
    </sheetView>
  </sheetViews>
  <sheetFormatPr defaultColWidth="8.77734375" defaultRowHeight="13.2" x14ac:dyDescent="0.25"/>
  <cols>
    <col min="2" max="2" width="11.77734375" customWidth="1"/>
  </cols>
  <sheetData>
    <row r="1" spans="1:18" ht="21" x14ac:dyDescent="0.4">
      <c r="A1" s="73" t="s">
        <v>268</v>
      </c>
      <c r="B1" s="73"/>
      <c r="C1" s="73"/>
      <c r="D1" s="73"/>
      <c r="E1" s="73"/>
      <c r="F1" s="73"/>
      <c r="G1" s="73"/>
      <c r="H1" s="73"/>
      <c r="I1" s="73"/>
      <c r="J1" s="73"/>
      <c r="K1" s="73"/>
      <c r="L1" s="73"/>
      <c r="M1" s="73"/>
      <c r="N1" s="73"/>
      <c r="O1" s="73"/>
      <c r="P1" s="73"/>
      <c r="Q1" s="73"/>
      <c r="R1" s="1" t="s">
        <v>311</v>
      </c>
    </row>
    <row r="2" spans="1:18" ht="15" x14ac:dyDescent="0.25">
      <c r="A2" s="74"/>
      <c r="B2" s="74"/>
      <c r="C2" s="74"/>
      <c r="D2" s="74"/>
      <c r="E2" s="74"/>
      <c r="F2" s="74"/>
      <c r="G2" s="74"/>
      <c r="H2" s="74"/>
      <c r="I2" s="74"/>
      <c r="J2" s="74"/>
      <c r="K2" s="74"/>
      <c r="L2" s="74"/>
      <c r="M2" s="74"/>
      <c r="N2" s="74"/>
      <c r="O2" s="74"/>
      <c r="P2" s="74"/>
      <c r="Q2" s="74"/>
    </row>
    <row r="3" spans="1:18" ht="15" x14ac:dyDescent="0.25">
      <c r="A3" s="63" t="s">
        <v>299</v>
      </c>
      <c r="B3" s="72"/>
      <c r="C3" s="72"/>
      <c r="D3" s="72"/>
      <c r="E3" s="72"/>
      <c r="F3" s="72"/>
      <c r="G3" s="72"/>
      <c r="H3" s="72"/>
      <c r="I3" s="72"/>
      <c r="J3" s="72"/>
      <c r="K3" s="72"/>
      <c r="L3" s="72"/>
      <c r="M3" s="72"/>
      <c r="N3" s="72"/>
      <c r="O3" s="72"/>
      <c r="P3" s="72"/>
      <c r="Q3" s="72"/>
    </row>
    <row r="4" spans="1:18" ht="15" customHeight="1" x14ac:dyDescent="0.25">
      <c r="A4" s="71"/>
      <c r="B4" s="71"/>
      <c r="C4" s="71"/>
      <c r="D4" s="71"/>
      <c r="E4" s="71"/>
      <c r="F4" s="71"/>
      <c r="G4" s="71"/>
      <c r="H4" s="71"/>
      <c r="I4" s="71"/>
      <c r="J4" s="71"/>
      <c r="K4" s="71"/>
      <c r="L4" s="71"/>
      <c r="M4" s="71"/>
      <c r="N4" s="71"/>
      <c r="O4" s="71"/>
      <c r="P4" s="71"/>
      <c r="Q4" s="71"/>
    </row>
    <row r="5" spans="1:18" ht="15" customHeight="1" x14ac:dyDescent="0.25">
      <c r="A5" s="71"/>
      <c r="B5" s="71"/>
      <c r="C5" s="71"/>
      <c r="D5" s="71"/>
      <c r="E5" s="71"/>
      <c r="F5" s="71"/>
      <c r="G5" s="71"/>
      <c r="H5" s="71"/>
      <c r="I5" s="71"/>
      <c r="J5" s="71"/>
      <c r="K5" s="71"/>
      <c r="L5" s="71"/>
      <c r="M5" s="71"/>
      <c r="N5" s="71"/>
      <c r="O5" s="71"/>
      <c r="P5" s="71"/>
      <c r="Q5" s="71"/>
    </row>
    <row r="6" spans="1:18" ht="15" x14ac:dyDescent="0.25">
      <c r="A6" s="71"/>
      <c r="B6" s="71"/>
      <c r="C6" s="71"/>
      <c r="D6" s="71"/>
      <c r="E6" s="71"/>
      <c r="F6" s="71"/>
      <c r="G6" s="71"/>
      <c r="H6" s="71"/>
      <c r="I6" s="71"/>
      <c r="J6" s="71"/>
      <c r="K6" s="71"/>
      <c r="L6" s="71"/>
      <c r="M6" s="71"/>
      <c r="N6" s="71"/>
      <c r="O6" s="71"/>
      <c r="P6" s="71"/>
      <c r="Q6" s="71"/>
    </row>
    <row r="7" spans="1:18" ht="15" x14ac:dyDescent="0.25">
      <c r="A7" s="63" t="s">
        <v>300</v>
      </c>
      <c r="B7" s="63"/>
      <c r="C7" s="63"/>
      <c r="D7" s="63"/>
      <c r="E7" s="63"/>
      <c r="F7" s="63"/>
      <c r="G7" s="63"/>
      <c r="H7" s="63"/>
      <c r="I7" s="63"/>
      <c r="J7" s="63"/>
      <c r="K7" s="63"/>
      <c r="L7" s="63"/>
      <c r="M7" s="63"/>
      <c r="N7" s="63"/>
      <c r="O7" s="63"/>
      <c r="P7" s="63"/>
      <c r="Q7" s="63"/>
    </row>
    <row r="8" spans="1:18" ht="15" x14ac:dyDescent="0.25">
      <c r="A8" s="71"/>
      <c r="B8" s="71"/>
      <c r="C8" s="71"/>
      <c r="D8" s="71"/>
      <c r="E8" s="71"/>
      <c r="F8" s="71"/>
      <c r="G8" s="71"/>
      <c r="H8" s="71"/>
      <c r="I8" s="71"/>
      <c r="J8" s="71"/>
      <c r="K8" s="71"/>
      <c r="L8" s="71"/>
      <c r="M8" s="71"/>
      <c r="N8" s="71"/>
      <c r="O8" s="71"/>
      <c r="P8" s="71"/>
      <c r="Q8" s="71"/>
    </row>
    <row r="9" spans="1:18" ht="45" customHeight="1" x14ac:dyDescent="0.25">
      <c r="A9" s="66" t="s">
        <v>301</v>
      </c>
      <c r="B9" s="67"/>
      <c r="C9" s="67"/>
      <c r="D9" s="67"/>
      <c r="E9" s="67"/>
      <c r="F9" s="67"/>
      <c r="G9" s="67"/>
      <c r="H9" s="67"/>
      <c r="I9" s="67"/>
      <c r="J9" s="67"/>
      <c r="K9" s="67"/>
      <c r="L9" s="67"/>
      <c r="M9" s="67"/>
      <c r="N9" s="67"/>
      <c r="O9" s="67"/>
      <c r="P9" s="67"/>
      <c r="Q9" s="67"/>
    </row>
    <row r="10" spans="1:18" ht="15" customHeight="1" x14ac:dyDescent="0.25">
      <c r="A10" s="66" t="s">
        <v>306</v>
      </c>
      <c r="B10" s="66"/>
      <c r="C10" s="66"/>
      <c r="D10" s="66"/>
      <c r="E10" s="66"/>
      <c r="F10" s="66"/>
      <c r="G10" s="66"/>
      <c r="H10" s="66"/>
      <c r="I10" s="66"/>
      <c r="J10" s="66"/>
      <c r="K10" s="66"/>
      <c r="L10" s="66"/>
      <c r="M10" s="66"/>
      <c r="N10" s="66"/>
      <c r="O10" s="66"/>
      <c r="P10" s="66"/>
      <c r="Q10" s="66"/>
    </row>
    <row r="11" spans="1:18" x14ac:dyDescent="0.25">
      <c r="A11" s="79"/>
      <c r="B11" s="79"/>
      <c r="C11" s="79"/>
      <c r="D11" s="79"/>
      <c r="E11" s="79"/>
      <c r="F11" s="79"/>
      <c r="G11" s="79"/>
      <c r="H11" s="79"/>
      <c r="I11" s="79"/>
      <c r="J11" s="79"/>
      <c r="K11" s="79"/>
      <c r="L11" s="79"/>
      <c r="M11" s="79"/>
      <c r="N11" s="79"/>
      <c r="O11" s="79"/>
      <c r="P11" s="79"/>
      <c r="Q11" s="79"/>
    </row>
    <row r="12" spans="1:18" s="3" customFormat="1" ht="30.45" customHeight="1" x14ac:dyDescent="0.25">
      <c r="A12" s="75" t="s">
        <v>243</v>
      </c>
      <c r="B12" s="76"/>
      <c r="C12" s="76"/>
      <c r="D12" s="76"/>
      <c r="E12" s="76"/>
      <c r="F12" s="76"/>
      <c r="G12" s="76"/>
      <c r="H12" s="76"/>
      <c r="I12" s="76"/>
      <c r="J12" s="76"/>
      <c r="K12" s="76"/>
      <c r="L12" s="76"/>
      <c r="M12" s="76"/>
      <c r="N12" s="76"/>
      <c r="O12" s="76"/>
      <c r="P12" s="76"/>
      <c r="Q12" s="76"/>
    </row>
    <row r="13" spans="1:18" s="3" customFormat="1" ht="30.45" customHeight="1" x14ac:dyDescent="0.25">
      <c r="A13" s="80"/>
      <c r="B13" s="80"/>
      <c r="C13" s="80"/>
      <c r="D13" s="80"/>
      <c r="E13" s="80"/>
      <c r="F13" s="80"/>
      <c r="G13" s="80"/>
      <c r="H13" s="80"/>
      <c r="I13" s="80"/>
      <c r="J13" s="80"/>
      <c r="K13" s="80"/>
      <c r="L13" s="80"/>
      <c r="M13" s="80"/>
      <c r="N13" s="80"/>
      <c r="O13" s="80"/>
      <c r="P13" s="80"/>
      <c r="Q13" s="80"/>
    </row>
    <row r="14" spans="1:18" s="3" customFormat="1" ht="30.45" customHeight="1" x14ac:dyDescent="0.25">
      <c r="A14" s="80"/>
      <c r="B14" s="80"/>
      <c r="C14" s="80"/>
      <c r="D14" s="80"/>
      <c r="E14" s="80"/>
      <c r="F14" s="80"/>
      <c r="G14" s="80"/>
      <c r="H14" s="80"/>
      <c r="I14" s="80"/>
      <c r="J14" s="80"/>
      <c r="K14" s="80"/>
      <c r="L14" s="80"/>
      <c r="M14" s="80"/>
      <c r="N14" s="80"/>
      <c r="O14" s="80"/>
      <c r="P14" s="80"/>
      <c r="Q14" s="80"/>
    </row>
    <row r="15" spans="1:18" s="3" customFormat="1" ht="30.45" customHeight="1" x14ac:dyDescent="0.25">
      <c r="A15" s="80"/>
      <c r="B15" s="80"/>
      <c r="C15" s="80"/>
      <c r="D15" s="80"/>
      <c r="E15" s="80"/>
      <c r="F15" s="80"/>
      <c r="G15" s="80"/>
      <c r="H15" s="80"/>
      <c r="I15" s="80"/>
      <c r="J15" s="80"/>
      <c r="K15" s="80"/>
      <c r="L15" s="80"/>
      <c r="M15" s="80"/>
      <c r="N15" s="80"/>
      <c r="O15" s="80"/>
      <c r="P15" s="80"/>
      <c r="Q15" s="80"/>
    </row>
    <row r="16" spans="1:18" s="3" customFormat="1" ht="30.45" customHeight="1" x14ac:dyDescent="0.25">
      <c r="A16" s="80"/>
      <c r="B16" s="80"/>
      <c r="C16" s="80"/>
      <c r="D16" s="80"/>
      <c r="E16" s="80"/>
      <c r="F16" s="80"/>
      <c r="G16" s="80"/>
      <c r="H16" s="80"/>
      <c r="I16" s="80"/>
      <c r="J16" s="80"/>
      <c r="K16" s="80"/>
      <c r="L16" s="80"/>
      <c r="M16" s="80"/>
      <c r="N16" s="80"/>
      <c r="O16" s="80"/>
      <c r="P16" s="80"/>
      <c r="Q16" s="80"/>
    </row>
    <row r="17" spans="1:17" s="3" customFormat="1" ht="30.45" customHeight="1" x14ac:dyDescent="0.25">
      <c r="A17" s="80"/>
      <c r="B17" s="80"/>
      <c r="C17" s="80"/>
      <c r="D17" s="80"/>
      <c r="E17" s="80"/>
      <c r="F17" s="80"/>
      <c r="G17" s="80"/>
      <c r="H17" s="80"/>
      <c r="I17" s="80"/>
      <c r="J17" s="80"/>
      <c r="K17" s="80"/>
      <c r="L17" s="80"/>
      <c r="M17" s="80"/>
      <c r="N17" s="80"/>
      <c r="O17" s="80"/>
      <c r="P17" s="80"/>
      <c r="Q17" s="80"/>
    </row>
    <row r="18" spans="1:17" s="3" customFormat="1" ht="20.55" customHeight="1" x14ac:dyDescent="0.25">
      <c r="A18" s="80"/>
      <c r="B18" s="80"/>
      <c r="C18" s="80"/>
      <c r="D18" s="80"/>
      <c r="E18" s="80"/>
      <c r="F18" s="80"/>
      <c r="G18" s="80"/>
      <c r="H18" s="80"/>
      <c r="I18" s="80"/>
      <c r="J18" s="80"/>
      <c r="K18" s="80"/>
      <c r="L18" s="80"/>
      <c r="M18" s="80"/>
      <c r="N18" s="80"/>
      <c r="O18" s="80"/>
      <c r="P18" s="80"/>
      <c r="Q18" s="80"/>
    </row>
    <row r="19" spans="1:17" s="3" customFormat="1" ht="30.45" customHeight="1" x14ac:dyDescent="0.25">
      <c r="A19" s="75" t="s">
        <v>244</v>
      </c>
      <c r="B19" s="75"/>
      <c r="C19" s="75"/>
      <c r="D19" s="75"/>
      <c r="E19" s="75"/>
      <c r="F19" s="75"/>
      <c r="G19" s="75"/>
      <c r="H19" s="75"/>
      <c r="I19" s="75"/>
      <c r="J19" s="75"/>
      <c r="K19" s="75"/>
      <c r="L19" s="75"/>
      <c r="M19" s="75"/>
      <c r="N19" s="75"/>
      <c r="O19" s="75"/>
      <c r="P19" s="75"/>
      <c r="Q19" s="75"/>
    </row>
    <row r="20" spans="1:17" s="3" customFormat="1" ht="15.6" x14ac:dyDescent="0.3">
      <c r="A20" s="75" t="s">
        <v>245</v>
      </c>
      <c r="B20" s="75"/>
      <c r="C20" s="75"/>
      <c r="D20" s="75"/>
      <c r="E20" s="75"/>
      <c r="F20" s="75"/>
      <c r="G20" s="75"/>
      <c r="H20" s="75"/>
      <c r="I20" s="75"/>
      <c r="J20" s="75"/>
      <c r="K20" s="75"/>
      <c r="L20" s="75"/>
      <c r="M20" s="75"/>
      <c r="N20" s="75"/>
      <c r="O20" s="75"/>
      <c r="P20" s="75"/>
      <c r="Q20" s="75"/>
    </row>
    <row r="21" spans="1:17" ht="15.6" x14ac:dyDescent="0.3">
      <c r="A21" s="78" t="s">
        <v>246</v>
      </c>
      <c r="B21" s="78"/>
      <c r="C21" s="78" t="s">
        <v>247</v>
      </c>
      <c r="D21" s="78"/>
      <c r="E21" s="78"/>
      <c r="F21" s="78"/>
      <c r="G21" s="78"/>
      <c r="H21" s="78"/>
      <c r="I21" s="78"/>
      <c r="J21" s="78"/>
      <c r="K21" s="78"/>
      <c r="L21" s="78"/>
      <c r="M21" s="78"/>
      <c r="N21" s="78"/>
      <c r="O21" s="78"/>
      <c r="P21" s="78"/>
      <c r="Q21" s="78"/>
    </row>
    <row r="22" spans="1:17" ht="15" x14ac:dyDescent="0.25">
      <c r="A22" s="72" t="s">
        <v>3</v>
      </c>
      <c r="B22" s="72"/>
      <c r="C22" s="63" t="s">
        <v>227</v>
      </c>
      <c r="D22" s="72"/>
      <c r="E22" s="72"/>
      <c r="F22" s="72"/>
      <c r="G22" s="72"/>
      <c r="H22" s="72"/>
      <c r="I22" s="72"/>
      <c r="J22" s="72"/>
      <c r="K22" s="72"/>
      <c r="L22" s="72"/>
      <c r="M22" s="72"/>
      <c r="N22" s="72"/>
      <c r="O22" s="72"/>
      <c r="P22" s="72"/>
      <c r="Q22" s="72"/>
    </row>
    <row r="23" spans="1:17" ht="15" x14ac:dyDescent="0.25">
      <c r="A23" s="72" t="s">
        <v>5</v>
      </c>
      <c r="B23" s="72"/>
      <c r="C23" s="63" t="s">
        <v>267</v>
      </c>
      <c r="D23" s="72"/>
      <c r="E23" s="72"/>
      <c r="F23" s="72"/>
      <c r="G23" s="72"/>
      <c r="H23" s="72"/>
      <c r="I23" s="72"/>
      <c r="J23" s="72"/>
      <c r="K23" s="72"/>
      <c r="L23" s="72"/>
      <c r="M23" s="72"/>
      <c r="N23" s="72"/>
      <c r="O23" s="72"/>
      <c r="P23" s="72"/>
      <c r="Q23" s="72"/>
    </row>
    <row r="24" spans="1:17" ht="15" x14ac:dyDescent="0.25">
      <c r="A24" s="64" t="s">
        <v>12</v>
      </c>
      <c r="B24" s="64"/>
      <c r="C24" s="65" t="s">
        <v>230</v>
      </c>
      <c r="D24" s="64"/>
      <c r="E24" s="64"/>
      <c r="F24" s="64"/>
      <c r="G24" s="64"/>
      <c r="H24" s="64"/>
      <c r="I24" s="64"/>
      <c r="J24" s="64"/>
      <c r="K24" s="64"/>
      <c r="L24" s="64"/>
      <c r="M24" s="64"/>
      <c r="N24" s="64"/>
      <c r="O24" s="64"/>
      <c r="P24" s="64"/>
      <c r="Q24" s="64"/>
    </row>
    <row r="25" spans="1:17" ht="15" x14ac:dyDescent="0.25">
      <c r="A25" s="65" t="s">
        <v>31</v>
      </c>
      <c r="B25" s="65"/>
      <c r="C25" s="65" t="s">
        <v>228</v>
      </c>
      <c r="D25" s="64"/>
      <c r="E25" s="64"/>
      <c r="F25" s="64"/>
      <c r="G25" s="64"/>
      <c r="H25" s="64"/>
      <c r="I25" s="64"/>
      <c r="J25" s="64"/>
      <c r="K25" s="64"/>
      <c r="L25" s="64"/>
      <c r="M25" s="64"/>
      <c r="N25" s="64"/>
      <c r="O25" s="64"/>
      <c r="P25" s="64"/>
      <c r="Q25" s="64"/>
    </row>
    <row r="26" spans="1:17" ht="15" x14ac:dyDescent="0.25">
      <c r="A26" s="72" t="s">
        <v>13</v>
      </c>
      <c r="B26" s="72"/>
      <c r="C26" s="65" t="s">
        <v>229</v>
      </c>
      <c r="D26" s="64"/>
      <c r="E26" s="64"/>
      <c r="F26" s="64"/>
      <c r="G26" s="64"/>
      <c r="H26" s="64"/>
      <c r="I26" s="64"/>
      <c r="J26" s="64"/>
      <c r="K26" s="64"/>
      <c r="L26" s="64"/>
      <c r="M26" s="64"/>
      <c r="N26" s="64"/>
      <c r="O26" s="64"/>
      <c r="P26" s="64"/>
      <c r="Q26" s="64"/>
    </row>
    <row r="27" spans="1:17" ht="15.6" x14ac:dyDescent="0.3">
      <c r="A27" s="63" t="s">
        <v>37</v>
      </c>
      <c r="B27" s="72"/>
      <c r="C27" s="69" t="s">
        <v>252</v>
      </c>
      <c r="D27" s="69"/>
      <c r="E27" s="69"/>
      <c r="F27" s="69"/>
      <c r="G27" s="69"/>
      <c r="H27" s="69"/>
      <c r="I27" s="69"/>
      <c r="J27" s="69"/>
      <c r="K27" s="69"/>
      <c r="L27" s="69"/>
      <c r="M27" s="69"/>
      <c r="N27" s="69"/>
      <c r="O27" s="69"/>
      <c r="P27" s="69"/>
      <c r="Q27" s="69"/>
    </row>
    <row r="28" spans="1:17" ht="15" x14ac:dyDescent="0.25">
      <c r="A28" s="64" t="s">
        <v>7</v>
      </c>
      <c r="B28" s="64"/>
      <c r="C28" s="65" t="s">
        <v>231</v>
      </c>
      <c r="D28" s="64"/>
      <c r="E28" s="64"/>
      <c r="F28" s="64"/>
      <c r="G28" s="64"/>
      <c r="H28" s="64"/>
      <c r="I28" s="64"/>
      <c r="J28" s="64"/>
      <c r="K28" s="64"/>
      <c r="L28" s="64"/>
      <c r="M28" s="64"/>
      <c r="N28" s="64"/>
      <c r="O28" s="64"/>
      <c r="P28" s="64"/>
      <c r="Q28" s="64"/>
    </row>
    <row r="29" spans="1:17" ht="15" x14ac:dyDescent="0.25">
      <c r="A29" s="72" t="s">
        <v>4</v>
      </c>
      <c r="B29" s="72"/>
      <c r="C29" s="65" t="s">
        <v>232</v>
      </c>
      <c r="D29" s="64"/>
      <c r="E29" s="64"/>
      <c r="F29" s="64"/>
      <c r="G29" s="64"/>
      <c r="H29" s="64"/>
      <c r="I29" s="64"/>
      <c r="J29" s="64"/>
      <c r="K29" s="64"/>
      <c r="L29" s="64"/>
      <c r="M29" s="64"/>
      <c r="N29" s="64"/>
      <c r="O29" s="64"/>
      <c r="P29" s="64"/>
      <c r="Q29" s="64"/>
    </row>
    <row r="30" spans="1:17" ht="15.6" x14ac:dyDescent="0.3">
      <c r="A30" s="64" t="s">
        <v>8</v>
      </c>
      <c r="B30" s="64"/>
      <c r="C30" s="69" t="s">
        <v>233</v>
      </c>
      <c r="D30" s="69"/>
      <c r="E30" s="69"/>
      <c r="F30" s="69"/>
      <c r="G30" s="69"/>
      <c r="H30" s="69"/>
      <c r="I30" s="69"/>
      <c r="J30" s="69"/>
      <c r="K30" s="69"/>
      <c r="L30" s="69"/>
      <c r="M30" s="69"/>
      <c r="N30" s="69"/>
      <c r="O30" s="69"/>
      <c r="P30" s="69"/>
      <c r="Q30" s="69"/>
    </row>
    <row r="31" spans="1:17" ht="15.45" customHeight="1" x14ac:dyDescent="0.25">
      <c r="A31" s="68"/>
      <c r="B31" s="68"/>
      <c r="C31" s="68"/>
      <c r="D31" s="68"/>
      <c r="E31" s="68"/>
      <c r="F31" s="68"/>
      <c r="G31" s="68"/>
      <c r="H31" s="68"/>
      <c r="I31" s="68"/>
      <c r="J31" s="68"/>
      <c r="K31" s="68"/>
      <c r="L31" s="68"/>
      <c r="M31" s="68"/>
      <c r="N31" s="68"/>
      <c r="O31" s="68"/>
      <c r="P31" s="68"/>
      <c r="Q31" s="68"/>
    </row>
    <row r="32" spans="1:17" ht="30.45" customHeight="1" x14ac:dyDescent="0.25">
      <c r="A32" s="70" t="s">
        <v>248</v>
      </c>
      <c r="B32" s="70"/>
      <c r="C32" s="70"/>
      <c r="D32" s="70"/>
      <c r="E32" s="70"/>
      <c r="F32" s="70"/>
      <c r="G32" s="70"/>
      <c r="H32" s="70"/>
      <c r="I32" s="70"/>
      <c r="J32" s="70"/>
      <c r="K32" s="70"/>
      <c r="L32" s="70"/>
      <c r="M32" s="70"/>
      <c r="N32" s="70"/>
      <c r="O32" s="70"/>
      <c r="P32" s="70"/>
      <c r="Q32" s="70"/>
    </row>
    <row r="33" spans="1:17" ht="15" customHeight="1" x14ac:dyDescent="0.25">
      <c r="A33" s="66" t="s">
        <v>303</v>
      </c>
      <c r="B33" s="67"/>
      <c r="C33" s="67"/>
      <c r="D33" s="67"/>
      <c r="E33" s="67"/>
      <c r="F33" s="67"/>
      <c r="G33" s="67"/>
      <c r="H33" s="67"/>
      <c r="I33" s="67"/>
      <c r="J33" s="67"/>
      <c r="K33" s="67"/>
      <c r="L33" s="67"/>
      <c r="M33" s="67"/>
      <c r="N33" s="67"/>
      <c r="O33" s="67"/>
      <c r="P33" s="67"/>
      <c r="Q33" s="67"/>
    </row>
    <row r="34" spans="1:17" ht="15" x14ac:dyDescent="0.25">
      <c r="A34" s="71"/>
      <c r="B34" s="71"/>
      <c r="C34" s="71"/>
      <c r="D34" s="71"/>
      <c r="E34" s="71"/>
      <c r="F34" s="71"/>
      <c r="G34" s="71"/>
      <c r="H34" s="71"/>
      <c r="I34" s="71"/>
      <c r="J34" s="71"/>
      <c r="K34" s="71"/>
      <c r="L34" s="71"/>
      <c r="M34" s="71"/>
      <c r="N34" s="71"/>
      <c r="O34" s="71"/>
      <c r="P34" s="71"/>
      <c r="Q34" s="71"/>
    </row>
    <row r="35" spans="1:17" ht="15" x14ac:dyDescent="0.25">
      <c r="A35" s="63" t="s">
        <v>304</v>
      </c>
      <c r="B35" s="63"/>
      <c r="C35" s="63"/>
      <c r="D35" s="63"/>
      <c r="E35" s="63"/>
      <c r="F35" s="63"/>
      <c r="G35" s="63"/>
      <c r="H35" s="63"/>
      <c r="I35" s="63"/>
      <c r="J35" s="63"/>
      <c r="K35" s="63"/>
      <c r="L35" s="63"/>
      <c r="M35" s="63"/>
      <c r="N35" s="63"/>
      <c r="O35" s="63"/>
      <c r="P35" s="63"/>
      <c r="Q35" s="63"/>
    </row>
    <row r="36" spans="1:17" ht="15" customHeight="1" x14ac:dyDescent="0.25">
      <c r="A36" s="70" t="s">
        <v>309</v>
      </c>
      <c r="B36" s="86"/>
      <c r="C36" s="86"/>
      <c r="D36" s="86"/>
      <c r="E36" s="86"/>
      <c r="F36" s="86"/>
      <c r="G36" s="86"/>
      <c r="H36" s="86"/>
      <c r="I36" s="86"/>
      <c r="J36" s="86"/>
      <c r="K36" s="86"/>
      <c r="L36" s="86"/>
      <c r="M36" s="86"/>
      <c r="N36" s="86"/>
      <c r="O36" s="86"/>
      <c r="P36" s="86"/>
      <c r="Q36" s="86"/>
    </row>
    <row r="37" spans="1:17" ht="45" customHeight="1" x14ac:dyDescent="0.25">
      <c r="A37" s="70" t="s">
        <v>312</v>
      </c>
      <c r="B37" s="70"/>
      <c r="C37" s="70"/>
      <c r="D37" s="70"/>
      <c r="E37" s="70"/>
      <c r="F37" s="70"/>
      <c r="G37" s="70"/>
      <c r="H37" s="70"/>
      <c r="I37" s="70"/>
      <c r="J37" s="70"/>
      <c r="K37" s="70"/>
      <c r="L37" s="70"/>
      <c r="M37" s="70"/>
      <c r="N37" s="70"/>
      <c r="O37" s="70"/>
      <c r="P37" s="70"/>
      <c r="Q37" s="70"/>
    </row>
    <row r="38" spans="1:17" ht="15" customHeight="1" x14ac:dyDescent="0.25">
      <c r="A38" s="70" t="s">
        <v>308</v>
      </c>
      <c r="B38" s="70"/>
      <c r="C38" s="70"/>
      <c r="D38" s="70"/>
      <c r="E38" s="70"/>
      <c r="F38" s="70"/>
      <c r="G38" s="70"/>
      <c r="H38" s="70"/>
      <c r="I38" s="70"/>
      <c r="J38" s="70"/>
      <c r="K38" s="70"/>
      <c r="L38" s="70"/>
      <c r="M38" s="70"/>
      <c r="N38" s="70"/>
      <c r="O38" s="70"/>
      <c r="P38" s="70"/>
      <c r="Q38" s="70"/>
    </row>
    <row r="39" spans="1:17" ht="45" customHeight="1" x14ac:dyDescent="0.25">
      <c r="A39" s="70" t="s">
        <v>310</v>
      </c>
      <c r="B39" s="70"/>
      <c r="C39" s="70"/>
      <c r="D39" s="70"/>
      <c r="E39" s="70"/>
      <c r="F39" s="70"/>
      <c r="G39" s="70"/>
      <c r="H39" s="70"/>
      <c r="I39" s="70"/>
      <c r="J39" s="70"/>
      <c r="K39" s="70"/>
      <c r="L39" s="70"/>
      <c r="M39" s="70"/>
      <c r="N39" s="70"/>
      <c r="O39" s="70"/>
      <c r="P39" s="70"/>
      <c r="Q39" s="70"/>
    </row>
    <row r="40" spans="1:17" ht="30.45" customHeight="1" x14ac:dyDescent="0.25">
      <c r="A40" s="90" t="s">
        <v>302</v>
      </c>
      <c r="B40" s="90"/>
      <c r="C40" s="90"/>
      <c r="D40" s="90"/>
      <c r="E40" s="90"/>
      <c r="F40" s="90"/>
      <c r="G40" s="90"/>
      <c r="H40" s="90"/>
      <c r="I40" s="90"/>
      <c r="J40" s="90"/>
      <c r="K40" s="90"/>
      <c r="L40" s="90"/>
      <c r="M40" s="90"/>
      <c r="N40" s="90"/>
      <c r="O40" s="90"/>
      <c r="P40" s="90"/>
      <c r="Q40" s="90"/>
    </row>
    <row r="41" spans="1:17" ht="15" customHeight="1" x14ac:dyDescent="0.25">
      <c r="A41" s="77"/>
      <c r="B41" s="77"/>
      <c r="C41" s="77"/>
      <c r="D41" s="77"/>
      <c r="E41" s="77"/>
      <c r="F41" s="77"/>
      <c r="G41" s="77"/>
      <c r="H41" s="77"/>
      <c r="I41" s="77"/>
      <c r="J41" s="77"/>
      <c r="K41" s="77"/>
      <c r="L41" s="77"/>
      <c r="M41" s="77"/>
      <c r="N41" s="77"/>
      <c r="O41" s="77"/>
      <c r="P41" s="77"/>
      <c r="Q41" s="77"/>
    </row>
    <row r="42" spans="1:17" ht="30.45" customHeight="1" x14ac:dyDescent="0.25">
      <c r="A42" s="70" t="s">
        <v>307</v>
      </c>
      <c r="B42" s="86"/>
      <c r="C42" s="86"/>
      <c r="D42" s="86"/>
      <c r="E42" s="86"/>
      <c r="F42" s="86"/>
      <c r="G42" s="86"/>
      <c r="H42" s="86"/>
      <c r="I42" s="86"/>
      <c r="J42" s="86"/>
      <c r="K42" s="86"/>
      <c r="L42" s="86"/>
      <c r="M42" s="86"/>
      <c r="N42" s="86"/>
      <c r="O42" s="86"/>
      <c r="P42" s="86"/>
      <c r="Q42" s="86"/>
    </row>
    <row r="43" spans="1:17" ht="15" x14ac:dyDescent="0.25">
      <c r="A43" s="68"/>
      <c r="B43" s="68"/>
      <c r="C43" s="68"/>
      <c r="D43" s="68"/>
      <c r="E43" s="68"/>
      <c r="F43" s="68"/>
      <c r="G43" s="68"/>
      <c r="H43" s="68"/>
      <c r="I43" s="68"/>
      <c r="J43" s="68"/>
      <c r="K43" s="68"/>
      <c r="L43" s="68"/>
      <c r="M43" s="68"/>
      <c r="N43" s="68"/>
      <c r="O43" s="68"/>
      <c r="P43" s="68"/>
      <c r="Q43" s="68"/>
    </row>
    <row r="44" spans="1:17" ht="30" customHeight="1" x14ac:dyDescent="0.25">
      <c r="A44" s="70" t="s">
        <v>236</v>
      </c>
      <c r="B44" s="86"/>
      <c r="C44" s="86"/>
      <c r="D44" s="86"/>
      <c r="E44" s="86"/>
      <c r="F44" s="86"/>
      <c r="G44" s="86"/>
      <c r="H44" s="86"/>
      <c r="I44" s="86"/>
      <c r="J44" s="86"/>
      <c r="K44" s="86"/>
      <c r="L44" s="86"/>
      <c r="M44" s="86"/>
      <c r="N44" s="86"/>
      <c r="O44" s="86"/>
      <c r="P44" s="86"/>
      <c r="Q44" s="86"/>
    </row>
    <row r="45" spans="1:17" ht="15" x14ac:dyDescent="0.25">
      <c r="A45" s="87"/>
      <c r="B45" s="87"/>
      <c r="C45" s="87"/>
      <c r="D45" s="87"/>
      <c r="E45" s="87"/>
      <c r="F45" s="87"/>
      <c r="G45" s="87"/>
      <c r="H45" s="87"/>
      <c r="I45" s="87"/>
      <c r="J45" s="87"/>
      <c r="K45" s="87"/>
      <c r="L45" s="87"/>
      <c r="M45" s="87"/>
      <c r="N45" s="87"/>
      <c r="O45" s="87"/>
      <c r="P45" s="87"/>
      <c r="Q45" s="87"/>
    </row>
    <row r="46" spans="1:17" ht="15.45" customHeight="1" x14ac:dyDescent="0.25">
      <c r="A46" s="82" t="s">
        <v>6</v>
      </c>
      <c r="B46" s="83" t="s">
        <v>235</v>
      </c>
      <c r="C46" s="84"/>
      <c r="D46" s="84"/>
      <c r="E46" s="84"/>
      <c r="F46" s="84"/>
      <c r="G46" s="84"/>
      <c r="H46" s="84"/>
      <c r="I46" s="84"/>
      <c r="J46" s="84"/>
      <c r="K46" s="84"/>
      <c r="L46" s="84"/>
      <c r="M46" s="84"/>
      <c r="N46" s="84"/>
      <c r="O46" s="84"/>
      <c r="P46" s="84"/>
      <c r="Q46" s="84"/>
    </row>
    <row r="47" spans="1:17" ht="14.55" customHeight="1" x14ac:dyDescent="0.25">
      <c r="A47" s="82"/>
      <c r="B47" s="84"/>
      <c r="C47" s="84"/>
      <c r="D47" s="84"/>
      <c r="E47" s="84"/>
      <c r="F47" s="84"/>
      <c r="G47" s="84"/>
      <c r="H47" s="84"/>
      <c r="I47" s="84"/>
      <c r="J47" s="84"/>
      <c r="K47" s="84"/>
      <c r="L47" s="84"/>
      <c r="M47" s="84"/>
      <c r="N47" s="84"/>
      <c r="O47" s="84"/>
      <c r="P47" s="84"/>
      <c r="Q47" s="84"/>
    </row>
    <row r="48" spans="1:17" ht="15" hidden="1" customHeight="1" x14ac:dyDescent="0.25">
      <c r="A48" s="82"/>
      <c r="B48" s="84"/>
      <c r="C48" s="84"/>
      <c r="D48" s="84"/>
      <c r="E48" s="84"/>
      <c r="F48" s="84"/>
      <c r="G48" s="84"/>
      <c r="H48" s="84"/>
      <c r="I48" s="84"/>
      <c r="J48" s="84"/>
      <c r="K48" s="84"/>
      <c r="L48" s="84"/>
      <c r="M48" s="84"/>
      <c r="N48" s="84"/>
      <c r="O48" s="84"/>
      <c r="P48" s="84"/>
      <c r="Q48" s="84"/>
    </row>
    <row r="49" spans="1:17" ht="15" x14ac:dyDescent="0.25">
      <c r="A49" s="85"/>
      <c r="B49" s="68"/>
      <c r="C49" s="68"/>
      <c r="D49" s="68"/>
      <c r="E49" s="68"/>
      <c r="F49" s="68"/>
      <c r="G49" s="68"/>
      <c r="H49" s="68"/>
      <c r="I49" s="68"/>
      <c r="J49" s="68"/>
      <c r="K49" s="68"/>
      <c r="L49" s="68"/>
      <c r="M49" s="68"/>
      <c r="N49" s="68"/>
      <c r="O49" s="68"/>
      <c r="P49" s="68"/>
      <c r="Q49" s="68"/>
    </row>
    <row r="50" spans="1:17" ht="29.55" customHeight="1" x14ac:dyDescent="0.3">
      <c r="A50" s="70" t="s">
        <v>234</v>
      </c>
      <c r="B50" s="86"/>
      <c r="C50" s="86"/>
      <c r="D50" s="86"/>
      <c r="E50" s="86"/>
      <c r="F50" s="86"/>
      <c r="G50" s="86"/>
      <c r="H50" s="86"/>
      <c r="I50" s="86"/>
      <c r="J50" s="86"/>
      <c r="K50" s="86"/>
      <c r="L50" s="86"/>
      <c r="M50" s="86"/>
      <c r="N50" s="86"/>
      <c r="O50" s="86"/>
      <c r="P50" s="86"/>
      <c r="Q50" s="86"/>
    </row>
    <row r="51" spans="1:17" ht="15" x14ac:dyDescent="0.25">
      <c r="A51" s="72"/>
      <c r="B51" s="72"/>
      <c r="C51" s="72"/>
      <c r="D51" s="72"/>
      <c r="E51" s="72"/>
      <c r="F51" s="72"/>
      <c r="G51" s="72"/>
      <c r="H51" s="72"/>
      <c r="I51" s="72"/>
      <c r="J51" s="72"/>
      <c r="K51" s="72"/>
      <c r="L51" s="72"/>
      <c r="M51" s="72"/>
      <c r="N51" s="72"/>
      <c r="O51" s="72"/>
      <c r="P51" s="72"/>
      <c r="Q51" s="72"/>
    </row>
    <row r="52" spans="1:17" ht="15" x14ac:dyDescent="0.25">
      <c r="A52" s="88" t="s">
        <v>237</v>
      </c>
      <c r="B52" s="89"/>
      <c r="C52" s="64" t="s">
        <v>9</v>
      </c>
      <c r="D52" s="64"/>
      <c r="E52" s="64"/>
      <c r="F52" s="64"/>
      <c r="G52" s="64"/>
      <c r="H52" s="64"/>
      <c r="I52" s="64"/>
      <c r="J52" s="64"/>
      <c r="K52" s="64"/>
      <c r="L52" s="64"/>
      <c r="M52" s="64"/>
      <c r="N52" s="64"/>
      <c r="O52" s="64"/>
      <c r="P52" s="64"/>
      <c r="Q52" s="64"/>
    </row>
    <row r="53" spans="1:17" ht="15" x14ac:dyDescent="0.25">
      <c r="A53" s="89"/>
      <c r="B53" s="89"/>
      <c r="C53" s="64" t="s">
        <v>10</v>
      </c>
      <c r="D53" s="64"/>
      <c r="E53" s="64"/>
      <c r="F53" s="64"/>
      <c r="G53" s="64"/>
      <c r="H53" s="64"/>
      <c r="I53" s="64"/>
      <c r="J53" s="64"/>
      <c r="K53" s="64"/>
      <c r="L53" s="64"/>
      <c r="M53" s="64"/>
      <c r="N53" s="64"/>
      <c r="O53" s="64"/>
      <c r="P53" s="64"/>
      <c r="Q53" s="64"/>
    </row>
    <row r="54" spans="1:17" ht="15" x14ac:dyDescent="0.25">
      <c r="A54" s="89"/>
      <c r="B54" s="89"/>
      <c r="C54" s="64" t="s">
        <v>11</v>
      </c>
      <c r="D54" s="64"/>
      <c r="E54" s="64"/>
      <c r="F54" s="64"/>
      <c r="G54" s="64"/>
      <c r="H54" s="64"/>
      <c r="I54" s="64"/>
      <c r="J54" s="64"/>
      <c r="K54" s="64"/>
      <c r="L54" s="64"/>
      <c r="M54" s="64"/>
      <c r="N54" s="64"/>
      <c r="O54" s="64"/>
      <c r="P54" s="64"/>
      <c r="Q54" s="64"/>
    </row>
    <row r="55" spans="1:17" ht="15" customHeight="1" x14ac:dyDescent="0.25">
      <c r="A55" s="81"/>
      <c r="B55" s="81"/>
      <c r="C55" s="81"/>
      <c r="D55" s="81"/>
      <c r="E55" s="81"/>
      <c r="F55" s="81"/>
      <c r="G55" s="81"/>
      <c r="H55" s="81"/>
      <c r="I55" s="81"/>
      <c r="J55" s="81"/>
      <c r="K55" s="81"/>
      <c r="L55" s="81"/>
      <c r="M55" s="81"/>
      <c r="N55" s="81"/>
      <c r="O55" s="81"/>
      <c r="P55" s="81"/>
      <c r="Q55" s="81"/>
    </row>
  </sheetData>
  <sheetProtection algorithmName="SHA-512" hashValue="v9iVxfRdDNxJexDAGk0dsN2TVInOlTlbRdLcx/UWnSP+/VUVAPwURBCxIwkrf/VvqIjDvRaAjmoEJoi05XJQkA==" saltValue="raWzTsfJUlPjgZxITGxOig==" spinCount="100000" sheet="1" objects="1" scenarios="1"/>
  <mergeCells count="59">
    <mergeCell ref="A55:Q55"/>
    <mergeCell ref="A46:A48"/>
    <mergeCell ref="B46:Q48"/>
    <mergeCell ref="A49:Q49"/>
    <mergeCell ref="A36:Q36"/>
    <mergeCell ref="A42:Q42"/>
    <mergeCell ref="A43:Q43"/>
    <mergeCell ref="A44:Q44"/>
    <mergeCell ref="A50:Q50"/>
    <mergeCell ref="A45:Q45"/>
    <mergeCell ref="C52:Q52"/>
    <mergeCell ref="C53:Q53"/>
    <mergeCell ref="C54:Q54"/>
    <mergeCell ref="A52:B54"/>
    <mergeCell ref="A51:Q51"/>
    <mergeCell ref="A40:Q40"/>
    <mergeCell ref="A37:Q37"/>
    <mergeCell ref="A39:Q39"/>
    <mergeCell ref="A41:Q41"/>
    <mergeCell ref="A10:Q10"/>
    <mergeCell ref="A38:Q38"/>
    <mergeCell ref="C21:Q21"/>
    <mergeCell ref="A11:Q11"/>
    <mergeCell ref="C22:Q22"/>
    <mergeCell ref="A21:B21"/>
    <mergeCell ref="A22:B22"/>
    <mergeCell ref="A19:Q19"/>
    <mergeCell ref="A20:Q20"/>
    <mergeCell ref="A13:Q18"/>
    <mergeCell ref="A23:B23"/>
    <mergeCell ref="C23:Q23"/>
    <mergeCell ref="C25:Q25"/>
    <mergeCell ref="A1:Q1"/>
    <mergeCell ref="A2:Q2"/>
    <mergeCell ref="A9:Q9"/>
    <mergeCell ref="A12:Q12"/>
    <mergeCell ref="A3:Q3"/>
    <mergeCell ref="A6:Q6"/>
    <mergeCell ref="A7:Q7"/>
    <mergeCell ref="A8:Q8"/>
    <mergeCell ref="A4:Q5"/>
    <mergeCell ref="A24:B24"/>
    <mergeCell ref="C24:Q24"/>
    <mergeCell ref="A27:B27"/>
    <mergeCell ref="A25:B25"/>
    <mergeCell ref="C27:Q27"/>
    <mergeCell ref="A26:B26"/>
    <mergeCell ref="C26:Q26"/>
    <mergeCell ref="A35:Q35"/>
    <mergeCell ref="A28:B28"/>
    <mergeCell ref="C28:Q28"/>
    <mergeCell ref="A33:Q33"/>
    <mergeCell ref="A31:Q31"/>
    <mergeCell ref="C30:Q30"/>
    <mergeCell ref="A32:Q32"/>
    <mergeCell ref="A34:Q34"/>
    <mergeCell ref="A29:B29"/>
    <mergeCell ref="C29:Q29"/>
    <mergeCell ref="A30:B30"/>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pageSetUpPr fitToPage="1"/>
  </sheetPr>
  <dimension ref="A1:P139"/>
  <sheetViews>
    <sheetView tabSelected="1" zoomScale="85" zoomScaleNormal="85" workbookViewId="0">
      <selection activeCell="G15" sqref="G15:K19"/>
    </sheetView>
  </sheetViews>
  <sheetFormatPr defaultColWidth="8.77734375" defaultRowHeight="15.45" customHeight="1" x14ac:dyDescent="0.25"/>
  <cols>
    <col min="1" max="1" width="30.77734375" style="12" customWidth="1"/>
    <col min="2" max="11" width="8.77734375" style="12" customWidth="1"/>
    <col min="12" max="12" width="9.109375" style="12" customWidth="1"/>
    <col min="13" max="13" width="8.77734375" style="12" customWidth="1"/>
    <col min="14" max="14" width="10.6640625" style="13" bestFit="1" customWidth="1"/>
    <col min="15" max="16384" width="8.77734375" style="13"/>
  </cols>
  <sheetData>
    <row r="1" spans="1:16" ht="30.45" customHeight="1" x14ac:dyDescent="0.4">
      <c r="A1" s="11"/>
      <c r="B1" s="107" t="s">
        <v>273</v>
      </c>
      <c r="C1" s="107"/>
      <c r="D1" s="107"/>
      <c r="E1" s="107"/>
      <c r="F1" s="107"/>
      <c r="G1" s="107"/>
      <c r="H1" s="107"/>
      <c r="I1" s="107"/>
      <c r="J1" s="107"/>
      <c r="K1" s="107"/>
    </row>
    <row r="2" spans="1:16" ht="18" customHeight="1" x14ac:dyDescent="0.25">
      <c r="A2" s="91"/>
      <c r="B2" s="91"/>
      <c r="C2" s="91"/>
      <c r="D2" s="91"/>
      <c r="E2" s="91"/>
      <c r="F2" s="91"/>
      <c r="G2" s="91"/>
      <c r="H2" s="91"/>
      <c r="I2" s="91"/>
      <c r="J2" s="91"/>
      <c r="K2" s="91"/>
    </row>
    <row r="3" spans="1:16" ht="18" customHeight="1" x14ac:dyDescent="0.25">
      <c r="A3" s="92"/>
      <c r="B3" s="92"/>
      <c r="C3" s="92"/>
      <c r="D3" s="92"/>
      <c r="E3" s="92"/>
      <c r="F3" s="92"/>
      <c r="G3" s="92"/>
      <c r="H3" s="92"/>
      <c r="I3" s="92"/>
      <c r="J3" s="92"/>
      <c r="K3" s="92"/>
      <c r="N3" s="15"/>
    </row>
    <row r="4" spans="1:16" ht="18" customHeight="1" x14ac:dyDescent="0.3">
      <c r="A4" s="16" t="s">
        <v>0</v>
      </c>
      <c r="B4" s="93" t="s">
        <v>314</v>
      </c>
      <c r="C4" s="106"/>
      <c r="D4" s="101"/>
      <c r="E4" s="124" t="s">
        <v>271</v>
      </c>
      <c r="F4" s="108"/>
      <c r="G4" s="125">
        <v>621153564</v>
      </c>
      <c r="H4" s="125"/>
      <c r="I4" s="17" t="s">
        <v>1</v>
      </c>
      <c r="J4" s="93"/>
      <c r="K4" s="101"/>
      <c r="N4" s="12"/>
    </row>
    <row r="5" spans="1:16" ht="18" customHeight="1" x14ac:dyDescent="0.25">
      <c r="A5" s="91"/>
      <c r="B5" s="91"/>
      <c r="C5" s="91"/>
      <c r="D5" s="91"/>
      <c r="E5" s="91"/>
      <c r="F5" s="91"/>
      <c r="G5" s="91"/>
      <c r="H5" s="91"/>
      <c r="I5" s="91"/>
      <c r="J5" s="91"/>
      <c r="K5" s="91"/>
    </row>
    <row r="6" spans="1:16" ht="18" customHeight="1" x14ac:dyDescent="0.25">
      <c r="A6" s="92"/>
      <c r="B6" s="92"/>
      <c r="C6" s="92"/>
      <c r="D6" s="92"/>
      <c r="E6" s="92"/>
      <c r="F6" s="92"/>
      <c r="G6" s="92"/>
      <c r="H6" s="92"/>
      <c r="I6" s="92"/>
      <c r="J6" s="92"/>
      <c r="K6" s="92"/>
    </row>
    <row r="7" spans="1:16" ht="18" customHeight="1" x14ac:dyDescent="0.3">
      <c r="A7" s="16" t="s">
        <v>270</v>
      </c>
      <c r="B7" s="93" t="s">
        <v>323</v>
      </c>
      <c r="C7" s="94"/>
      <c r="D7" s="94"/>
      <c r="E7" s="94"/>
      <c r="F7" s="18"/>
      <c r="G7" s="19" t="s">
        <v>272</v>
      </c>
      <c r="H7" s="95" t="s">
        <v>324</v>
      </c>
      <c r="I7" s="95"/>
      <c r="J7" s="95"/>
      <c r="K7" s="95"/>
      <c r="N7" s="12"/>
    </row>
    <row r="8" spans="1:16" ht="18" customHeight="1" x14ac:dyDescent="0.25">
      <c r="A8" s="91"/>
      <c r="B8" s="91"/>
      <c r="C8" s="91"/>
      <c r="D8" s="91"/>
      <c r="E8" s="91"/>
      <c r="F8" s="91"/>
      <c r="G8" s="91"/>
      <c r="H8" s="91"/>
      <c r="I8" s="91"/>
      <c r="J8" s="91"/>
      <c r="K8" s="91"/>
    </row>
    <row r="9" spans="1:16" ht="18" customHeight="1" x14ac:dyDescent="0.3">
      <c r="A9" s="16" t="s">
        <v>305</v>
      </c>
      <c r="B9" s="93"/>
      <c r="C9" s="106"/>
      <c r="D9" s="106"/>
      <c r="E9" s="101"/>
      <c r="F9" s="14"/>
      <c r="G9" s="14"/>
      <c r="H9" s="14"/>
      <c r="I9" s="14"/>
      <c r="J9" s="14"/>
      <c r="K9" s="14"/>
    </row>
    <row r="10" spans="1:16" ht="18" customHeight="1" x14ac:dyDescent="0.25">
      <c r="A10" s="92"/>
      <c r="B10" s="92"/>
      <c r="C10" s="92"/>
      <c r="D10" s="92"/>
      <c r="E10" s="92"/>
      <c r="F10" s="92"/>
      <c r="G10" s="92"/>
      <c r="H10" s="92"/>
      <c r="I10" s="92"/>
      <c r="J10" s="92"/>
      <c r="K10" s="92"/>
    </row>
    <row r="11" spans="1:16" ht="18" customHeight="1" x14ac:dyDescent="0.3">
      <c r="A11" s="20" t="s">
        <v>249</v>
      </c>
      <c r="B11" s="98" t="s">
        <v>5</v>
      </c>
      <c r="C11" s="99"/>
      <c r="D11" s="102" t="s">
        <v>250</v>
      </c>
      <c r="E11" s="103"/>
      <c r="F11" s="98" t="s">
        <v>35</v>
      </c>
      <c r="G11" s="99"/>
      <c r="H11" s="104" t="s">
        <v>251</v>
      </c>
      <c r="I11" s="105"/>
      <c r="J11" s="100"/>
      <c r="K11" s="101"/>
    </row>
    <row r="12" spans="1:16" ht="18" customHeight="1" x14ac:dyDescent="0.3">
      <c r="A12" s="20" t="str">
        <f>IF(B11="project","Projectnummer en naam:",IF(B11="Anders","Toelichting:",""))</f>
        <v/>
      </c>
      <c r="B12" s="96"/>
      <c r="C12" s="96"/>
      <c r="D12" s="97"/>
      <c r="E12" s="97"/>
      <c r="F12" s="97"/>
      <c r="G12" s="97"/>
      <c r="H12" s="97"/>
      <c r="I12" s="97"/>
      <c r="J12" s="97"/>
      <c r="K12" s="97"/>
      <c r="L12" s="97"/>
    </row>
    <row r="13" spans="1:16" ht="18" customHeight="1" x14ac:dyDescent="0.25">
      <c r="A13" s="92"/>
      <c r="B13" s="92"/>
      <c r="C13" s="92"/>
      <c r="D13" s="92"/>
      <c r="E13" s="92"/>
      <c r="F13" s="92"/>
      <c r="G13" s="92"/>
      <c r="H13" s="92"/>
      <c r="I13" s="92"/>
      <c r="J13" s="92"/>
      <c r="K13" s="92"/>
    </row>
    <row r="14" spans="1:16" ht="18" customHeight="1" x14ac:dyDescent="0.3">
      <c r="A14" s="112" t="s">
        <v>16</v>
      </c>
      <c r="B14" s="112"/>
      <c r="C14" s="103"/>
      <c r="D14" s="122" t="s">
        <v>313</v>
      </c>
      <c r="E14" s="123"/>
      <c r="F14" s="99"/>
      <c r="G14" s="109" t="s">
        <v>14</v>
      </c>
      <c r="H14" s="110"/>
      <c r="I14" s="110"/>
      <c r="J14" s="110"/>
      <c r="K14" s="110"/>
      <c r="N14" s="21"/>
    </row>
    <row r="15" spans="1:16" ht="18" customHeight="1" x14ac:dyDescent="0.25">
      <c r="A15" s="91"/>
      <c r="B15" s="91"/>
      <c r="C15" s="91"/>
      <c r="D15" s="91"/>
      <c r="E15" s="91"/>
      <c r="F15" s="111"/>
      <c r="G15" s="113"/>
      <c r="H15" s="114"/>
      <c r="I15" s="114"/>
      <c r="J15" s="114"/>
      <c r="K15" s="115"/>
      <c r="N15" s="21"/>
      <c r="O15" s="21"/>
      <c r="P15" s="21"/>
    </row>
    <row r="16" spans="1:16" ht="18" customHeight="1" x14ac:dyDescent="0.25">
      <c r="A16" s="91"/>
      <c r="B16" s="91"/>
      <c r="C16" s="91"/>
      <c r="D16" s="91"/>
      <c r="E16" s="91"/>
      <c r="F16" s="111"/>
      <c r="G16" s="116"/>
      <c r="H16" s="117"/>
      <c r="I16" s="117"/>
      <c r="J16" s="117"/>
      <c r="K16" s="118"/>
      <c r="N16" s="21"/>
      <c r="O16" s="21"/>
      <c r="P16" s="21"/>
    </row>
    <row r="17" spans="1:16" ht="18" customHeight="1" x14ac:dyDescent="0.25">
      <c r="A17" s="91"/>
      <c r="B17" s="91"/>
      <c r="C17" s="91"/>
      <c r="D17" s="91"/>
      <c r="E17" s="91"/>
      <c r="F17" s="111"/>
      <c r="G17" s="116"/>
      <c r="H17" s="117"/>
      <c r="I17" s="117"/>
      <c r="J17" s="117"/>
      <c r="K17" s="118"/>
      <c r="N17" s="21"/>
      <c r="O17" s="21"/>
      <c r="P17" s="21"/>
    </row>
    <row r="18" spans="1:16" ht="18" customHeight="1" x14ac:dyDescent="0.25">
      <c r="A18" s="91"/>
      <c r="B18" s="91"/>
      <c r="C18" s="91"/>
      <c r="D18" s="91"/>
      <c r="E18" s="91"/>
      <c r="F18" s="111"/>
      <c r="G18" s="116"/>
      <c r="H18" s="117"/>
      <c r="I18" s="117"/>
      <c r="J18" s="117"/>
      <c r="K18" s="118"/>
      <c r="N18" s="21"/>
      <c r="O18" s="21"/>
      <c r="P18" s="21"/>
    </row>
    <row r="19" spans="1:16" ht="18" customHeight="1" x14ac:dyDescent="0.25">
      <c r="A19" s="91"/>
      <c r="B19" s="91"/>
      <c r="C19" s="91"/>
      <c r="D19" s="91"/>
      <c r="E19" s="91"/>
      <c r="F19" s="111"/>
      <c r="G19" s="119"/>
      <c r="H19" s="120"/>
      <c r="I19" s="120"/>
      <c r="J19" s="120"/>
      <c r="K19" s="121"/>
      <c r="N19" s="21"/>
      <c r="O19" s="21"/>
      <c r="P19" s="21"/>
    </row>
    <row r="20" spans="1:16" s="21" customFormat="1" ht="18" customHeight="1" x14ac:dyDescent="0.3">
      <c r="A20" s="108"/>
      <c r="B20" s="108"/>
      <c r="C20" s="108"/>
      <c r="D20" s="108"/>
      <c r="E20" s="108"/>
      <c r="F20" s="108"/>
      <c r="G20" s="108"/>
      <c r="H20" s="108"/>
      <c r="I20" s="108"/>
      <c r="J20" s="108"/>
      <c r="K20" s="108"/>
      <c r="L20" s="12"/>
      <c r="M20" s="12"/>
      <c r="N20" s="13"/>
    </row>
    <row r="21" spans="1:16" s="21" customFormat="1" ht="15.6" x14ac:dyDescent="0.3">
      <c r="A21" s="19"/>
      <c r="B21" s="19"/>
      <c r="C21" s="19"/>
      <c r="D21" s="15"/>
      <c r="E21" s="15"/>
      <c r="F21" s="15"/>
      <c r="G21" s="15"/>
      <c r="H21" s="15"/>
      <c r="I21" s="15"/>
      <c r="J21" s="15"/>
      <c r="K21" s="12"/>
      <c r="L21" s="12"/>
      <c r="M21" s="12"/>
      <c r="N21" s="13"/>
      <c r="O21" s="13"/>
      <c r="P21" s="13"/>
    </row>
    <row r="22" spans="1:16" s="21" customFormat="1" ht="15" x14ac:dyDescent="0.25">
      <c r="A22" s="15"/>
      <c r="B22" s="15"/>
      <c r="C22" s="15"/>
      <c r="D22" s="15"/>
      <c r="E22" s="15"/>
      <c r="F22" s="15"/>
      <c r="G22" s="15"/>
      <c r="H22" s="15"/>
      <c r="I22" s="15"/>
      <c r="J22" s="15"/>
      <c r="K22" s="12"/>
      <c r="L22" s="12"/>
      <c r="M22" s="12"/>
      <c r="N22" s="13"/>
      <c r="O22" s="13"/>
      <c r="P22" s="13"/>
    </row>
    <row r="23" spans="1:16" s="21" customFormat="1" ht="15" x14ac:dyDescent="0.25">
      <c r="A23" s="15"/>
      <c r="B23" s="15"/>
      <c r="C23" s="15"/>
      <c r="D23" s="15"/>
      <c r="E23" s="15"/>
      <c r="F23" s="15"/>
      <c r="G23" s="15"/>
      <c r="H23" s="15"/>
      <c r="I23" s="15"/>
      <c r="J23" s="15"/>
      <c r="K23" s="12"/>
      <c r="L23" s="12"/>
      <c r="M23" s="12"/>
      <c r="N23" s="13"/>
      <c r="O23" s="13"/>
      <c r="P23" s="13"/>
    </row>
    <row r="24" spans="1:16" s="21" customFormat="1" ht="15" x14ac:dyDescent="0.25">
      <c r="A24" s="15"/>
      <c r="B24" s="15"/>
      <c r="C24" s="15"/>
      <c r="D24" s="15"/>
      <c r="E24" s="15"/>
      <c r="F24" s="15"/>
      <c r="G24" s="15"/>
      <c r="H24" s="15"/>
      <c r="I24" s="15"/>
      <c r="J24" s="15"/>
      <c r="K24" s="12"/>
      <c r="L24" s="12"/>
      <c r="M24" s="12"/>
      <c r="N24" s="13"/>
      <c r="O24" s="13"/>
      <c r="P24" s="13"/>
    </row>
    <row r="25" spans="1:16" s="21" customFormat="1" ht="15.6" x14ac:dyDescent="0.3">
      <c r="A25" s="19"/>
      <c r="B25" s="15"/>
      <c r="C25" s="15"/>
      <c r="D25" s="15"/>
      <c r="E25" s="15"/>
      <c r="F25" s="15"/>
      <c r="G25" s="15"/>
      <c r="H25" s="15"/>
      <c r="I25" s="15"/>
      <c r="J25" s="15"/>
      <c r="K25" s="12"/>
      <c r="L25" s="12"/>
      <c r="M25" s="12"/>
      <c r="N25" s="13"/>
      <c r="O25" s="13"/>
      <c r="P25" s="13"/>
    </row>
    <row r="26" spans="1:16" ht="15.6" x14ac:dyDescent="0.3">
      <c r="A26" s="22"/>
      <c r="B26" s="23"/>
      <c r="C26" s="23"/>
      <c r="D26" s="23"/>
      <c r="E26" s="23"/>
      <c r="F26" s="23"/>
      <c r="G26" s="23"/>
      <c r="H26" s="23"/>
      <c r="I26" s="15"/>
      <c r="J26" s="15"/>
    </row>
    <row r="27" spans="1:16" ht="15.6" x14ac:dyDescent="0.3">
      <c r="A27" s="24"/>
      <c r="B27" s="23"/>
      <c r="C27" s="23"/>
      <c r="D27" s="23"/>
      <c r="E27" s="25"/>
      <c r="F27" s="23"/>
      <c r="G27" s="23"/>
      <c r="H27" s="23"/>
      <c r="I27" s="15"/>
      <c r="J27" s="15"/>
    </row>
    <row r="28" spans="1:16" ht="15" x14ac:dyDescent="0.25">
      <c r="J28" s="15"/>
    </row>
    <row r="29" spans="1:16" ht="15.6" x14ac:dyDescent="0.3">
      <c r="J29" s="26"/>
    </row>
    <row r="30" spans="1:16" ht="15.6" x14ac:dyDescent="0.3">
      <c r="J30" s="26"/>
    </row>
    <row r="31" spans="1:16" ht="15.6" x14ac:dyDescent="0.3">
      <c r="J31" s="26"/>
    </row>
    <row r="32" spans="1:16" ht="15" x14ac:dyDescent="0.25"/>
    <row r="33" spans="1:10" ht="15" x14ac:dyDescent="0.25"/>
    <row r="34" spans="1:10" ht="15" x14ac:dyDescent="0.25">
      <c r="A34" s="13"/>
      <c r="B34" s="13"/>
      <c r="C34" s="13"/>
      <c r="D34" s="13"/>
      <c r="E34" s="13"/>
      <c r="F34" s="13"/>
      <c r="G34" s="13"/>
      <c r="H34" s="13"/>
      <c r="I34" s="13"/>
      <c r="J34" s="13"/>
    </row>
    <row r="35" spans="1:10" ht="15" x14ac:dyDescent="0.25"/>
    <row r="36" spans="1:10" ht="15" x14ac:dyDescent="0.25"/>
    <row r="37" spans="1:10" ht="15" x14ac:dyDescent="0.25"/>
    <row r="38" spans="1:10" ht="15" x14ac:dyDescent="0.25"/>
    <row r="39" spans="1:10" ht="15" x14ac:dyDescent="0.25"/>
    <row r="40" spans="1:10" ht="15" x14ac:dyDescent="0.25"/>
    <row r="41" spans="1:10" ht="15" x14ac:dyDescent="0.25"/>
    <row r="42" spans="1:10" ht="15" x14ac:dyDescent="0.25"/>
    <row r="43" spans="1:10" ht="15" x14ac:dyDescent="0.25"/>
    <row r="44" spans="1:10" ht="15" x14ac:dyDescent="0.25"/>
    <row r="45" spans="1:10" ht="15" x14ac:dyDescent="0.25"/>
    <row r="46" spans="1:10" ht="15" x14ac:dyDescent="0.25"/>
    <row r="47" spans="1:10" ht="15" x14ac:dyDescent="0.25"/>
    <row r="48" spans="1:10" ht="15" x14ac:dyDescent="0.25"/>
    <row r="49" spans="1:12" ht="15" x14ac:dyDescent="0.25"/>
    <row r="50" spans="1:12" ht="15" x14ac:dyDescent="0.25"/>
    <row r="51" spans="1:12" ht="15" x14ac:dyDescent="0.25">
      <c r="A51" s="27"/>
      <c r="B51" s="27"/>
      <c r="C51" s="27"/>
      <c r="D51" s="27"/>
      <c r="E51" s="27"/>
      <c r="F51" s="27"/>
      <c r="G51" s="27"/>
      <c r="H51" s="27"/>
      <c r="I51" s="27"/>
      <c r="J51" s="27"/>
      <c r="K51" s="27"/>
      <c r="L51" s="27"/>
    </row>
    <row r="52" spans="1:12" ht="15" x14ac:dyDescent="0.25">
      <c r="A52" s="27"/>
      <c r="B52" s="27"/>
      <c r="C52" s="27"/>
      <c r="D52" s="27"/>
      <c r="E52" s="27"/>
      <c r="F52" s="27"/>
      <c r="G52" s="27"/>
      <c r="H52" s="27"/>
      <c r="I52" s="27"/>
      <c r="J52" s="27"/>
      <c r="K52" s="27"/>
      <c r="L52" s="13"/>
    </row>
    <row r="53" spans="1:12" ht="15" x14ac:dyDescent="0.25">
      <c r="A53" s="28"/>
      <c r="B53" s="13"/>
      <c r="C53" s="28"/>
      <c r="D53" s="28"/>
      <c r="E53" s="28"/>
      <c r="F53" s="28"/>
      <c r="G53" s="28"/>
      <c r="H53" s="13"/>
      <c r="I53" s="28"/>
      <c r="J53" s="13"/>
      <c r="K53" s="13"/>
      <c r="L53" s="13"/>
    </row>
    <row r="54" spans="1:12" ht="15" x14ac:dyDescent="0.25">
      <c r="A54" s="28"/>
      <c r="B54" s="13"/>
      <c r="C54" s="28"/>
      <c r="D54" s="28"/>
      <c r="E54" s="28"/>
      <c r="F54" s="28"/>
      <c r="G54" s="28"/>
      <c r="H54" s="28"/>
      <c r="I54" s="28"/>
      <c r="J54" s="13"/>
      <c r="K54" s="13"/>
      <c r="L54" s="13"/>
    </row>
    <row r="55" spans="1:12" ht="15" x14ac:dyDescent="0.25">
      <c r="A55" s="28"/>
      <c r="B55" s="13"/>
      <c r="C55" s="13"/>
      <c r="D55" s="28"/>
      <c r="E55" s="28"/>
      <c r="F55" s="28"/>
      <c r="G55" s="28"/>
      <c r="H55" s="13"/>
      <c r="I55" s="13"/>
      <c r="J55" s="13"/>
      <c r="K55" s="13"/>
      <c r="L55" s="13"/>
    </row>
    <row r="56" spans="1:12" ht="15" x14ac:dyDescent="0.25">
      <c r="A56" s="28"/>
      <c r="B56" s="13"/>
      <c r="C56" s="13"/>
      <c r="D56" s="28"/>
      <c r="E56" s="28"/>
      <c r="F56" s="28"/>
      <c r="G56" s="28"/>
      <c r="H56" s="13"/>
      <c r="I56" s="13"/>
      <c r="J56" s="13"/>
      <c r="K56" s="13"/>
      <c r="L56" s="13"/>
    </row>
    <row r="57" spans="1:12" ht="15" x14ac:dyDescent="0.25">
      <c r="A57" s="28"/>
      <c r="B57" s="13"/>
      <c r="C57" s="13"/>
      <c r="D57" s="28"/>
      <c r="E57" s="28"/>
      <c r="F57" s="28"/>
      <c r="G57" s="28"/>
      <c r="H57" s="13"/>
      <c r="I57" s="13"/>
      <c r="J57" s="13"/>
      <c r="K57" s="13"/>
      <c r="L57" s="13"/>
    </row>
    <row r="58" spans="1:12" ht="15" x14ac:dyDescent="0.25">
      <c r="A58" s="28"/>
      <c r="B58" s="13"/>
      <c r="C58" s="13"/>
      <c r="D58" s="28"/>
      <c r="E58" s="28"/>
      <c r="F58" s="28"/>
      <c r="G58" s="28"/>
      <c r="H58" s="13"/>
      <c r="I58" s="13"/>
      <c r="J58" s="13"/>
      <c r="K58" s="13"/>
      <c r="L58" s="13"/>
    </row>
    <row r="59" spans="1:12" ht="15" x14ac:dyDescent="0.25">
      <c r="A59" s="28"/>
      <c r="B59" s="13"/>
      <c r="C59" s="13"/>
      <c r="D59" s="28"/>
      <c r="E59" s="13"/>
      <c r="F59" s="13"/>
      <c r="G59" s="28"/>
      <c r="H59" s="13"/>
      <c r="I59" s="13"/>
      <c r="J59" s="13"/>
      <c r="K59" s="13"/>
      <c r="L59" s="13"/>
    </row>
    <row r="60" spans="1:12" ht="15" x14ac:dyDescent="0.25">
      <c r="A60" s="28"/>
      <c r="B60" s="13"/>
      <c r="C60" s="13"/>
      <c r="D60" s="13"/>
      <c r="E60" s="13"/>
      <c r="F60" s="13"/>
      <c r="G60" s="28"/>
      <c r="H60" s="13"/>
      <c r="I60" s="13"/>
      <c r="J60" s="13"/>
      <c r="K60" s="13"/>
      <c r="L60" s="13"/>
    </row>
    <row r="61" spans="1:12" ht="15" x14ac:dyDescent="0.25">
      <c r="A61" s="13"/>
      <c r="B61" s="13"/>
      <c r="C61" s="13"/>
      <c r="D61" s="13"/>
      <c r="E61" s="13"/>
      <c r="F61" s="13"/>
      <c r="G61" s="28"/>
      <c r="H61" s="13"/>
      <c r="I61" s="13"/>
      <c r="J61" s="13"/>
      <c r="K61" s="13"/>
      <c r="L61" s="13"/>
    </row>
    <row r="62" spans="1:12" ht="15" x14ac:dyDescent="0.25">
      <c r="A62" s="13"/>
      <c r="B62" s="13"/>
      <c r="C62" s="13"/>
      <c r="D62" s="13"/>
      <c r="E62" s="13"/>
      <c r="F62" s="13"/>
      <c r="G62" s="28"/>
      <c r="H62" s="13"/>
      <c r="I62" s="13"/>
      <c r="J62" s="13"/>
      <c r="K62" s="13"/>
      <c r="L62" s="13"/>
    </row>
    <row r="63" spans="1:12" ht="15" x14ac:dyDescent="0.25">
      <c r="A63" s="13"/>
      <c r="B63" s="13"/>
      <c r="C63" s="13"/>
      <c r="D63" s="13"/>
      <c r="E63" s="13"/>
      <c r="F63" s="13"/>
      <c r="G63" s="13"/>
      <c r="H63" s="13"/>
      <c r="I63" s="13"/>
      <c r="J63" s="13"/>
      <c r="K63" s="13"/>
      <c r="L63" s="13"/>
    </row>
    <row r="64" spans="1:12" ht="15" x14ac:dyDescent="0.25">
      <c r="A64" s="13"/>
      <c r="B64" s="13"/>
      <c r="C64" s="13"/>
      <c r="D64" s="13"/>
      <c r="E64" s="13"/>
      <c r="F64" s="13"/>
      <c r="G64" s="13"/>
      <c r="H64" s="13"/>
      <c r="I64" s="13"/>
      <c r="J64" s="13"/>
      <c r="K64" s="13"/>
      <c r="L64" s="13"/>
    </row>
    <row r="65" spans="1:12" ht="15" x14ac:dyDescent="0.25">
      <c r="A65" s="13"/>
      <c r="B65" s="13"/>
      <c r="C65" s="13"/>
      <c r="D65" s="13"/>
      <c r="E65" s="13"/>
      <c r="F65" s="13"/>
      <c r="G65" s="13"/>
      <c r="H65" s="13"/>
      <c r="I65" s="13"/>
      <c r="J65" s="13"/>
      <c r="K65" s="13"/>
      <c r="L65" s="13"/>
    </row>
    <row r="66" spans="1:12" ht="15" x14ac:dyDescent="0.25">
      <c r="A66" s="13"/>
      <c r="B66" s="13"/>
      <c r="C66" s="13"/>
      <c r="D66" s="13"/>
      <c r="E66" s="13"/>
      <c r="F66" s="13"/>
      <c r="G66" s="13"/>
      <c r="H66" s="13"/>
      <c r="I66" s="13"/>
      <c r="J66" s="13"/>
      <c r="K66" s="13"/>
      <c r="L66" s="13"/>
    </row>
    <row r="67" spans="1:12" ht="15" x14ac:dyDescent="0.25">
      <c r="A67" s="13"/>
      <c r="B67" s="28"/>
      <c r="C67" s="28"/>
      <c r="D67" s="13"/>
      <c r="E67" s="13"/>
      <c r="F67" s="13"/>
      <c r="G67" s="13"/>
      <c r="H67" s="13"/>
      <c r="I67" s="13"/>
      <c r="J67" s="13"/>
      <c r="K67" s="13"/>
      <c r="L67" s="13"/>
    </row>
    <row r="68" spans="1:12" ht="15" x14ac:dyDescent="0.25">
      <c r="A68" s="13"/>
      <c r="B68" s="28"/>
      <c r="C68" s="28"/>
      <c r="D68" s="28"/>
      <c r="E68" s="28"/>
      <c r="F68" s="13"/>
      <c r="G68" s="13"/>
      <c r="H68" s="13"/>
      <c r="I68" s="13"/>
      <c r="J68" s="13"/>
      <c r="K68" s="13"/>
      <c r="L68" s="13"/>
    </row>
    <row r="69" spans="1:12" ht="15" x14ac:dyDescent="0.25">
      <c r="A69" s="13"/>
      <c r="B69" s="28"/>
      <c r="C69" s="28"/>
      <c r="D69" s="28"/>
      <c r="E69" s="28"/>
      <c r="F69" s="28"/>
      <c r="G69" s="13"/>
      <c r="H69" s="13"/>
      <c r="I69" s="13"/>
      <c r="J69" s="13"/>
      <c r="K69" s="13"/>
      <c r="L69" s="13"/>
    </row>
    <row r="70" spans="1:12" ht="15" x14ac:dyDescent="0.25">
      <c r="A70" s="13"/>
      <c r="B70" s="28"/>
      <c r="C70" s="13"/>
      <c r="D70" s="13"/>
      <c r="E70" s="13"/>
      <c r="F70" s="28"/>
      <c r="G70" s="13"/>
      <c r="H70" s="13"/>
      <c r="I70" s="13"/>
      <c r="J70" s="13"/>
      <c r="K70" s="13"/>
      <c r="L70" s="13"/>
    </row>
    <row r="71" spans="1:12" ht="15" x14ac:dyDescent="0.25">
      <c r="A71" s="27"/>
      <c r="B71" s="13"/>
      <c r="C71" s="13"/>
      <c r="D71" s="13"/>
      <c r="E71" s="13"/>
      <c r="F71" s="13"/>
      <c r="G71" s="13"/>
      <c r="H71" s="13"/>
      <c r="I71" s="13"/>
      <c r="J71" s="13"/>
      <c r="K71" s="13"/>
      <c r="L71" s="13"/>
    </row>
    <row r="72" spans="1:12" ht="15" x14ac:dyDescent="0.25">
      <c r="A72" s="27"/>
      <c r="B72" s="27"/>
      <c r="C72" s="27"/>
      <c r="D72" s="27"/>
      <c r="E72" s="27"/>
      <c r="F72" s="27"/>
      <c r="G72" s="13"/>
      <c r="H72" s="13"/>
      <c r="I72" s="13"/>
      <c r="J72" s="13"/>
      <c r="K72" s="13"/>
      <c r="L72" s="13"/>
    </row>
    <row r="73" spans="1:12" ht="15" x14ac:dyDescent="0.25">
      <c r="A73" s="28"/>
      <c r="B73" s="28"/>
      <c r="C73" s="28"/>
      <c r="D73" s="28"/>
      <c r="E73" s="28"/>
      <c r="F73" s="28"/>
      <c r="G73" s="13"/>
      <c r="H73" s="13"/>
      <c r="I73" s="13"/>
      <c r="J73" s="13"/>
      <c r="K73" s="13"/>
      <c r="L73" s="13"/>
    </row>
    <row r="74" spans="1:12" ht="15" x14ac:dyDescent="0.25">
      <c r="A74" s="28"/>
      <c r="B74" s="28"/>
      <c r="C74" s="28"/>
      <c r="D74" s="28"/>
      <c r="E74" s="28"/>
      <c r="F74" s="28"/>
      <c r="G74" s="13"/>
      <c r="H74" s="13"/>
      <c r="I74" s="13"/>
      <c r="J74" s="13"/>
      <c r="K74" s="13"/>
      <c r="L74" s="13"/>
    </row>
    <row r="75" spans="1:12" ht="15" x14ac:dyDescent="0.25">
      <c r="A75" s="28"/>
      <c r="B75" s="28"/>
      <c r="C75" s="28"/>
      <c r="D75" s="28"/>
      <c r="E75" s="28"/>
      <c r="F75" s="28"/>
      <c r="G75" s="13"/>
      <c r="H75" s="13"/>
      <c r="I75" s="13"/>
      <c r="J75" s="13"/>
      <c r="K75" s="13"/>
      <c r="L75" s="13"/>
    </row>
    <row r="76" spans="1:12" ht="15" x14ac:dyDescent="0.25">
      <c r="A76" s="28"/>
      <c r="B76" s="28"/>
      <c r="C76" s="28"/>
      <c r="D76" s="28"/>
      <c r="E76" s="28"/>
      <c r="F76" s="28"/>
      <c r="G76" s="13"/>
      <c r="H76" s="13"/>
      <c r="I76" s="13"/>
      <c r="J76" s="13"/>
      <c r="K76" s="13"/>
      <c r="L76" s="13"/>
    </row>
    <row r="77" spans="1:12" ht="15" x14ac:dyDescent="0.25">
      <c r="A77" s="28"/>
      <c r="B77" s="28"/>
      <c r="C77" s="28"/>
      <c r="D77" s="28"/>
      <c r="E77" s="28"/>
      <c r="F77" s="28"/>
      <c r="G77" s="13"/>
      <c r="H77" s="13"/>
      <c r="I77" s="13"/>
      <c r="J77" s="13"/>
      <c r="K77" s="13"/>
      <c r="L77" s="13"/>
    </row>
    <row r="78" spans="1:12" ht="15" x14ac:dyDescent="0.25">
      <c r="A78" s="28"/>
      <c r="B78" s="28"/>
      <c r="C78" s="28"/>
      <c r="D78" s="28"/>
      <c r="E78" s="28"/>
      <c r="F78" s="28"/>
      <c r="G78" s="13"/>
      <c r="H78" s="13"/>
      <c r="I78" s="13"/>
      <c r="J78" s="13"/>
      <c r="K78" s="13"/>
      <c r="L78" s="13"/>
    </row>
    <row r="79" spans="1:12" ht="15" x14ac:dyDescent="0.25">
      <c r="A79" s="28"/>
      <c r="B79" s="28"/>
      <c r="C79" s="28"/>
      <c r="D79" s="28"/>
      <c r="E79" s="28"/>
      <c r="F79" s="28"/>
      <c r="G79" s="13"/>
      <c r="H79" s="13"/>
      <c r="I79" s="13"/>
      <c r="J79" s="13"/>
      <c r="K79" s="13"/>
      <c r="L79" s="13"/>
    </row>
    <row r="80" spans="1:12" ht="15" x14ac:dyDescent="0.25">
      <c r="A80" s="28"/>
      <c r="B80" s="28"/>
      <c r="C80" s="28"/>
      <c r="D80" s="28"/>
      <c r="E80" s="28"/>
      <c r="F80" s="28"/>
      <c r="G80" s="13"/>
      <c r="H80" s="13"/>
      <c r="I80" s="13"/>
      <c r="J80" s="13"/>
      <c r="K80" s="13"/>
      <c r="L80" s="13"/>
    </row>
    <row r="81" spans="1:12" ht="15" x14ac:dyDescent="0.25">
      <c r="A81" s="28"/>
      <c r="B81" s="28"/>
      <c r="C81" s="28"/>
      <c r="D81" s="28"/>
      <c r="E81" s="28"/>
      <c r="F81" s="28"/>
      <c r="G81" s="13"/>
      <c r="H81" s="13"/>
      <c r="I81" s="13"/>
      <c r="J81" s="13"/>
      <c r="K81" s="13"/>
      <c r="L81" s="13"/>
    </row>
    <row r="82" spans="1:12" ht="15" x14ac:dyDescent="0.25">
      <c r="A82" s="28"/>
      <c r="B82" s="28"/>
      <c r="C82" s="28"/>
      <c r="D82" s="28"/>
      <c r="E82" s="28"/>
      <c r="F82" s="28"/>
      <c r="G82" s="13"/>
      <c r="H82" s="13"/>
      <c r="I82" s="13"/>
      <c r="J82" s="13"/>
      <c r="K82" s="13"/>
      <c r="L82" s="13"/>
    </row>
    <row r="83" spans="1:12" ht="15" x14ac:dyDescent="0.25">
      <c r="A83" s="28"/>
      <c r="B83" s="28"/>
      <c r="C83" s="28"/>
      <c r="D83" s="28"/>
      <c r="E83" s="28"/>
      <c r="F83" s="28"/>
      <c r="G83" s="13"/>
      <c r="H83" s="13"/>
      <c r="I83" s="13"/>
      <c r="J83" s="13"/>
      <c r="K83" s="13"/>
      <c r="L83" s="13"/>
    </row>
    <row r="84" spans="1:12" ht="15" x14ac:dyDescent="0.25">
      <c r="A84" s="28"/>
      <c r="B84" s="28"/>
      <c r="C84" s="28"/>
      <c r="D84" s="28"/>
      <c r="E84" s="28"/>
      <c r="F84" s="28"/>
      <c r="G84" s="13"/>
      <c r="H84" s="13"/>
      <c r="I84" s="13"/>
      <c r="J84" s="13"/>
      <c r="K84" s="13"/>
      <c r="L84" s="13"/>
    </row>
    <row r="85" spans="1:12" ht="15" x14ac:dyDescent="0.25">
      <c r="A85" s="28"/>
      <c r="B85" s="28"/>
      <c r="C85" s="28"/>
      <c r="D85" s="28"/>
      <c r="E85" s="28"/>
      <c r="F85" s="28"/>
      <c r="G85" s="13"/>
      <c r="H85" s="13"/>
      <c r="I85" s="13"/>
      <c r="J85" s="13"/>
      <c r="K85" s="13"/>
      <c r="L85" s="13"/>
    </row>
    <row r="86" spans="1:12" ht="15" x14ac:dyDescent="0.25">
      <c r="A86" s="28"/>
      <c r="B86" s="13"/>
      <c r="C86" s="28"/>
      <c r="D86" s="13"/>
      <c r="E86" s="28"/>
      <c r="F86" s="13"/>
      <c r="G86" s="13"/>
      <c r="H86" s="13"/>
      <c r="I86" s="13"/>
      <c r="J86" s="13"/>
      <c r="K86" s="13"/>
      <c r="L86" s="13"/>
    </row>
    <row r="87" spans="1:12" ht="15" x14ac:dyDescent="0.25">
      <c r="A87" s="28"/>
      <c r="B87" s="13"/>
      <c r="C87" s="13"/>
      <c r="D87" s="13"/>
      <c r="E87" s="13"/>
      <c r="F87" s="13"/>
      <c r="G87" s="13"/>
      <c r="H87" s="13"/>
      <c r="I87" s="13"/>
      <c r="J87" s="13"/>
      <c r="K87" s="13"/>
      <c r="L87" s="13"/>
    </row>
    <row r="88" spans="1:12" ht="15" x14ac:dyDescent="0.25">
      <c r="A88" s="28"/>
      <c r="B88" s="13"/>
      <c r="C88" s="13"/>
      <c r="D88" s="13"/>
      <c r="E88" s="13"/>
      <c r="F88" s="13"/>
      <c r="G88" s="13"/>
      <c r="H88" s="13"/>
      <c r="I88" s="13"/>
      <c r="J88" s="13"/>
      <c r="K88" s="13"/>
      <c r="L88" s="13"/>
    </row>
    <row r="89" spans="1:12" ht="15" x14ac:dyDescent="0.25">
      <c r="A89" s="28"/>
      <c r="B89" s="13"/>
      <c r="C89" s="13"/>
      <c r="D89" s="13"/>
      <c r="E89" s="13"/>
      <c r="F89" s="13"/>
      <c r="G89" s="13"/>
      <c r="H89" s="13"/>
      <c r="I89" s="13"/>
      <c r="J89" s="13"/>
      <c r="K89" s="13"/>
      <c r="L89" s="13"/>
    </row>
    <row r="90" spans="1:12" ht="15" x14ac:dyDescent="0.25">
      <c r="A90" s="28"/>
      <c r="B90" s="13"/>
      <c r="C90" s="13"/>
      <c r="D90" s="13"/>
      <c r="E90" s="13"/>
      <c r="F90" s="13"/>
      <c r="G90" s="13"/>
      <c r="H90" s="13"/>
      <c r="I90" s="13"/>
      <c r="J90" s="13"/>
      <c r="K90" s="13"/>
      <c r="L90" s="13"/>
    </row>
    <row r="91" spans="1:12" ht="15" x14ac:dyDescent="0.25">
      <c r="A91" s="28"/>
      <c r="B91" s="13"/>
      <c r="C91" s="13"/>
      <c r="D91" s="13"/>
      <c r="E91" s="13"/>
      <c r="F91" s="13"/>
      <c r="G91" s="13"/>
      <c r="H91" s="13"/>
      <c r="I91" s="13"/>
      <c r="J91" s="13"/>
      <c r="K91" s="13"/>
      <c r="L91" s="13"/>
    </row>
    <row r="92" spans="1:12" ht="15" x14ac:dyDescent="0.25">
      <c r="A92" s="28"/>
      <c r="B92" s="13"/>
      <c r="C92" s="13"/>
      <c r="D92" s="13"/>
      <c r="E92" s="13"/>
      <c r="F92" s="13"/>
      <c r="G92" s="13"/>
      <c r="H92" s="13"/>
      <c r="I92" s="13"/>
      <c r="J92" s="13"/>
      <c r="K92" s="13"/>
      <c r="L92" s="13"/>
    </row>
    <row r="93" spans="1:12" ht="15" x14ac:dyDescent="0.25">
      <c r="A93" s="28"/>
      <c r="B93" s="13"/>
      <c r="C93" s="13"/>
      <c r="D93" s="13"/>
      <c r="E93" s="13"/>
      <c r="F93" s="13"/>
      <c r="G93" s="13"/>
      <c r="H93" s="13"/>
      <c r="I93" s="13"/>
      <c r="J93" s="13"/>
      <c r="K93" s="13"/>
      <c r="L93" s="13"/>
    </row>
    <row r="94" spans="1:12" ht="15" x14ac:dyDescent="0.25">
      <c r="A94" s="28"/>
      <c r="B94" s="13"/>
      <c r="C94" s="13"/>
      <c r="D94" s="13"/>
      <c r="E94" s="13"/>
      <c r="F94" s="13"/>
      <c r="G94" s="13"/>
      <c r="H94" s="13"/>
      <c r="I94" s="13"/>
      <c r="J94" s="13"/>
      <c r="K94" s="13"/>
      <c r="L94" s="13"/>
    </row>
    <row r="95" spans="1:12" ht="15" x14ac:dyDescent="0.25">
      <c r="A95" s="28"/>
      <c r="B95" s="13"/>
      <c r="C95" s="13"/>
      <c r="D95" s="13"/>
      <c r="E95" s="13"/>
      <c r="F95" s="13"/>
      <c r="G95" s="13"/>
      <c r="H95" s="13"/>
      <c r="I95" s="13"/>
      <c r="J95" s="13"/>
      <c r="K95" s="13"/>
      <c r="L95" s="13"/>
    </row>
    <row r="96" spans="1:12" ht="15" x14ac:dyDescent="0.25">
      <c r="A96" s="28"/>
      <c r="B96" s="13"/>
      <c r="C96" s="13"/>
      <c r="D96" s="13"/>
      <c r="E96" s="13"/>
      <c r="F96" s="13"/>
      <c r="G96" s="13"/>
      <c r="H96" s="13"/>
      <c r="I96" s="13"/>
      <c r="J96" s="13"/>
      <c r="K96" s="13"/>
      <c r="L96" s="13"/>
    </row>
    <row r="97" spans="1:12" ht="15" x14ac:dyDescent="0.25">
      <c r="A97" s="28"/>
      <c r="B97" s="13"/>
      <c r="C97" s="13"/>
      <c r="D97" s="13"/>
      <c r="E97" s="13"/>
      <c r="F97" s="13"/>
      <c r="G97" s="13"/>
      <c r="H97" s="13"/>
      <c r="I97" s="13"/>
      <c r="J97" s="13"/>
      <c r="K97" s="13"/>
      <c r="L97" s="13"/>
    </row>
    <row r="98" spans="1:12" ht="15" x14ac:dyDescent="0.25">
      <c r="A98" s="28"/>
      <c r="B98" s="13"/>
      <c r="C98" s="13"/>
      <c r="D98" s="13"/>
      <c r="E98" s="13"/>
      <c r="F98" s="13"/>
      <c r="G98" s="13"/>
      <c r="H98" s="13"/>
      <c r="I98" s="13"/>
      <c r="J98" s="13"/>
      <c r="K98" s="13"/>
      <c r="L98" s="13"/>
    </row>
    <row r="99" spans="1:12" ht="15" x14ac:dyDescent="0.25">
      <c r="A99" s="28"/>
      <c r="B99" s="13"/>
      <c r="C99" s="13"/>
      <c r="D99" s="13"/>
      <c r="E99" s="13"/>
      <c r="F99" s="13"/>
      <c r="G99" s="13"/>
      <c r="H99" s="13"/>
      <c r="I99" s="13"/>
      <c r="J99" s="13"/>
      <c r="K99" s="13"/>
      <c r="L99" s="13"/>
    </row>
    <row r="100" spans="1:12" ht="15" x14ac:dyDescent="0.25">
      <c r="A100" s="28"/>
      <c r="B100" s="13"/>
      <c r="C100" s="13"/>
      <c r="D100" s="13"/>
      <c r="E100" s="13"/>
      <c r="F100" s="13"/>
      <c r="G100" s="13"/>
      <c r="H100" s="13"/>
      <c r="I100" s="13"/>
      <c r="J100" s="13"/>
      <c r="K100" s="13"/>
      <c r="L100" s="13"/>
    </row>
    <row r="101" spans="1:12" ht="15" x14ac:dyDescent="0.25">
      <c r="A101" s="28"/>
      <c r="B101" s="13"/>
      <c r="C101" s="13"/>
      <c r="D101" s="13"/>
      <c r="E101" s="13"/>
      <c r="F101" s="13"/>
      <c r="G101" s="13"/>
      <c r="H101" s="13"/>
      <c r="I101" s="13"/>
      <c r="J101" s="13"/>
      <c r="K101" s="13"/>
      <c r="L101" s="13"/>
    </row>
    <row r="102" spans="1:12" ht="15" x14ac:dyDescent="0.25">
      <c r="A102" s="28"/>
      <c r="B102" s="13"/>
      <c r="C102" s="13"/>
      <c r="D102" s="13"/>
      <c r="E102" s="13"/>
      <c r="F102" s="13"/>
      <c r="G102" s="13"/>
      <c r="H102" s="13"/>
      <c r="I102" s="13"/>
      <c r="J102" s="13"/>
      <c r="K102" s="13"/>
      <c r="L102" s="13"/>
    </row>
    <row r="103" spans="1:12" ht="15" x14ac:dyDescent="0.25">
      <c r="A103" s="28"/>
      <c r="B103" s="13"/>
      <c r="C103" s="13"/>
      <c r="D103" s="13"/>
      <c r="E103" s="13"/>
      <c r="F103" s="13"/>
      <c r="G103" s="13"/>
      <c r="H103" s="13"/>
      <c r="I103" s="13"/>
      <c r="J103" s="13"/>
      <c r="K103" s="13"/>
      <c r="L103" s="13"/>
    </row>
    <row r="104" spans="1:12" ht="15" x14ac:dyDescent="0.25"/>
    <row r="105" spans="1:12" ht="15" x14ac:dyDescent="0.25"/>
    <row r="106" spans="1:12" ht="15" x14ac:dyDescent="0.25"/>
    <row r="107" spans="1:12" ht="15" x14ac:dyDescent="0.25"/>
    <row r="108" spans="1:12" ht="15" x14ac:dyDescent="0.25"/>
    <row r="109" spans="1:12" ht="15" x14ac:dyDescent="0.25"/>
    <row r="110" spans="1:12" ht="15" x14ac:dyDescent="0.25"/>
    <row r="111" spans="1:12" ht="15" x14ac:dyDescent="0.25"/>
    <row r="112" spans="1:12" ht="15" x14ac:dyDescent="0.25"/>
    <row r="113" ht="15" x14ac:dyDescent="0.25"/>
    <row r="114" ht="15" x14ac:dyDescent="0.25"/>
    <row r="115" ht="15" x14ac:dyDescent="0.25"/>
    <row r="116" ht="15" x14ac:dyDescent="0.25"/>
    <row r="117" ht="15" x14ac:dyDescent="0.25"/>
    <row r="118" ht="15" x14ac:dyDescent="0.25"/>
    <row r="119" ht="15" x14ac:dyDescent="0.25"/>
    <row r="120" ht="15" x14ac:dyDescent="0.25"/>
    <row r="121" ht="15" x14ac:dyDescent="0.25"/>
    <row r="122" ht="15" x14ac:dyDescent="0.25"/>
    <row r="123" ht="15" x14ac:dyDescent="0.25"/>
    <row r="124" ht="15" x14ac:dyDescent="0.25"/>
    <row r="125" ht="15" x14ac:dyDescent="0.25"/>
    <row r="126" ht="15" x14ac:dyDescent="0.25"/>
    <row r="127" ht="15" x14ac:dyDescent="0.25"/>
    <row r="128" ht="15" x14ac:dyDescent="0.25"/>
    <row r="129" spans="1:10" ht="15" x14ac:dyDescent="0.25"/>
    <row r="130" spans="1:10" ht="15.6" x14ac:dyDescent="0.3">
      <c r="A130" s="26"/>
    </row>
    <row r="131" spans="1:10" ht="15" x14ac:dyDescent="0.25"/>
    <row r="132" spans="1:10" ht="15" x14ac:dyDescent="0.25"/>
    <row r="133" spans="1:10" ht="15" x14ac:dyDescent="0.25"/>
    <row r="134" spans="1:10" ht="15" x14ac:dyDescent="0.25"/>
    <row r="135" spans="1:10" ht="15" x14ac:dyDescent="0.25"/>
    <row r="136" spans="1:10" ht="15" x14ac:dyDescent="0.25"/>
    <row r="137" spans="1:10" ht="15.6" x14ac:dyDescent="0.3">
      <c r="J137" s="26"/>
    </row>
    <row r="138" spans="1:10" ht="18" customHeight="1" x14ac:dyDescent="0.25"/>
    <row r="139" spans="1:10" ht="18" customHeight="1" x14ac:dyDescent="0.25"/>
  </sheetData>
  <sheetProtection algorithmName="SHA-512" hashValue="Hl+ldjs9GFyrR4KvaXMcBVfAU6Nl13NizTYLEOTntLyXOm/Gy2rLgf+FrrRmfdY3myzBn34pQiTuvbPUZeCxCw==" saltValue="iUf9lDgLTwknIjxWF3CyzA==" spinCount="100000" sheet="1" selectLockedCells="1"/>
  <mergeCells count="28">
    <mergeCell ref="B1:K1"/>
    <mergeCell ref="A20:K20"/>
    <mergeCell ref="G14:K14"/>
    <mergeCell ref="A13:K13"/>
    <mergeCell ref="A15:F19"/>
    <mergeCell ref="A14:C14"/>
    <mergeCell ref="G15:K19"/>
    <mergeCell ref="D14:F14"/>
    <mergeCell ref="A2:K2"/>
    <mergeCell ref="A3:K3"/>
    <mergeCell ref="B4:D4"/>
    <mergeCell ref="J4:K4"/>
    <mergeCell ref="E4:F4"/>
    <mergeCell ref="G4:H4"/>
    <mergeCell ref="A5:K5"/>
    <mergeCell ref="A6:K6"/>
    <mergeCell ref="A8:K8"/>
    <mergeCell ref="A10:K10"/>
    <mergeCell ref="B7:E7"/>
    <mergeCell ref="H7:K7"/>
    <mergeCell ref="B12:C12"/>
    <mergeCell ref="D12:L12"/>
    <mergeCell ref="B11:C11"/>
    <mergeCell ref="J11:K11"/>
    <mergeCell ref="F11:G11"/>
    <mergeCell ref="D11:E11"/>
    <mergeCell ref="H11:I11"/>
    <mergeCell ref="B9:E9"/>
  </mergeCells>
  <phoneticPr fontId="2" type="noConversion"/>
  <conditionalFormatting sqref="B12:C12">
    <cfRule type="expression" dxfId="0" priority="1">
      <formula>"ALS(B10=""Project"")"</formula>
    </cfRule>
  </conditionalFormatting>
  <dataValidations count="3">
    <dataValidation type="list" allowBlank="1" showInputMessage="1" showErrorMessage="1" sqref="B11:C11" xr:uid="{00000000-0002-0000-0100-000000000000}">
      <formula1>Geleding</formula1>
    </dataValidation>
    <dataValidation type="list" allowBlank="1" showInputMessage="1" showErrorMessage="1" sqref="F11:G11 J11:K11" xr:uid="{00000000-0002-0000-0100-000001000000}">
      <formula1>INDIRECT(B11)</formula1>
    </dataValidation>
    <dataValidation type="textLength" errorStyle="information" operator="equal" allowBlank="1" showInputMessage="1" showErrorMessage="1" errorTitle="Format" error="Voer in deze cel de laatste 2 tekens van uw bankrekeningnummer in" sqref="F7" xr:uid="{E9EE6FBF-2E93-4E58-8649-F8DC28C802EB}">
      <formula1>2</formula1>
    </dataValidation>
  </dataValidations>
  <pageMargins left="0.78740157480314965" right="0.78740157480314965" top="0.55118110236220474" bottom="0.23622047244094491" header="0.39370078740157483" footer="0.35433070866141736"/>
  <pageSetup paperSize="9" scale="92" fitToHeight="0" orientation="landscape" r:id="rId1"/>
  <rowBreaks count="3" manualBreakCount="3">
    <brk id="58" max="9" man="1"/>
    <brk id="82" max="9" man="1"/>
    <brk id="107"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C2A32-586E-402D-83B8-9F5E496D411D}">
  <sheetPr>
    <pageSetUpPr fitToPage="1"/>
  </sheetPr>
  <dimension ref="B1:X103"/>
  <sheetViews>
    <sheetView zoomScale="85" zoomScaleNormal="85" workbookViewId="0">
      <pane ySplit="3" topLeftCell="A4" activePane="bottomLeft" state="frozen"/>
      <selection sqref="A1:XFD1048576"/>
      <selection pane="bottomLeft" activeCell="I6" sqref="I6"/>
    </sheetView>
  </sheetViews>
  <sheetFormatPr defaultColWidth="8.77734375" defaultRowHeight="15.45" customHeight="1" x14ac:dyDescent="0.25"/>
  <cols>
    <col min="1" max="1" width="8.77734375" style="32"/>
    <col min="2" max="2" width="27.21875" style="45" bestFit="1" customWidth="1"/>
    <col min="3" max="3" width="12.77734375" style="45" customWidth="1"/>
    <col min="4" max="4" width="20.77734375" style="45" customWidth="1"/>
    <col min="5" max="9" width="12.77734375" style="45" customWidth="1"/>
    <col min="10" max="12" width="12.77734375" style="12" customWidth="1"/>
    <col min="13" max="13" width="8.77734375" style="45" customWidth="1"/>
    <col min="14" max="14" width="9.109375" style="45" customWidth="1"/>
    <col min="15" max="15" width="8.77734375" style="45" customWidth="1"/>
    <col min="16" max="16" width="14" style="32" bestFit="1" customWidth="1"/>
    <col min="17" max="16384" width="8.77734375" style="32"/>
  </cols>
  <sheetData>
    <row r="1" spans="2:24" ht="34.950000000000003" customHeight="1" x14ac:dyDescent="0.4">
      <c r="B1" s="29"/>
      <c r="C1" s="136" t="s">
        <v>269</v>
      </c>
      <c r="D1" s="136"/>
      <c r="E1" s="136"/>
      <c r="F1" s="136"/>
      <c r="G1" s="136"/>
      <c r="H1" s="136"/>
      <c r="I1" s="136"/>
      <c r="J1" s="136"/>
      <c r="K1" s="136"/>
      <c r="L1" s="137"/>
      <c r="M1" s="130" t="s">
        <v>288</v>
      </c>
      <c r="N1" s="131"/>
      <c r="O1" s="131"/>
      <c r="P1" s="131"/>
      <c r="Q1" s="131"/>
      <c r="R1" s="132"/>
      <c r="S1" s="30" t="s">
        <v>296</v>
      </c>
      <c r="T1" s="31" t="s">
        <v>290</v>
      </c>
      <c r="U1" s="31"/>
    </row>
    <row r="2" spans="2:24" ht="34.950000000000003" customHeight="1" x14ac:dyDescent="0.25">
      <c r="B2" s="32"/>
      <c r="C2" s="32"/>
      <c r="D2" s="32"/>
      <c r="E2" s="32"/>
      <c r="F2" s="32"/>
      <c r="G2" s="32"/>
      <c r="H2" s="32"/>
      <c r="I2" s="32"/>
      <c r="J2" s="13"/>
      <c r="K2" s="13"/>
      <c r="L2" s="13"/>
      <c r="M2" s="133" t="s">
        <v>287</v>
      </c>
      <c r="N2" s="134"/>
      <c r="O2" s="134"/>
      <c r="P2" s="134"/>
      <c r="Q2" s="134"/>
      <c r="R2" s="135"/>
      <c r="S2" s="30" t="s">
        <v>297</v>
      </c>
      <c r="T2" s="33" t="s">
        <v>291</v>
      </c>
      <c r="U2" s="33">
        <v>18</v>
      </c>
      <c r="V2" s="34"/>
      <c r="W2" s="34"/>
      <c r="X2" s="34"/>
    </row>
    <row r="3" spans="2:24" ht="48" customHeight="1" x14ac:dyDescent="0.3">
      <c r="B3" s="35" t="s">
        <v>274</v>
      </c>
      <c r="C3" s="35" t="s">
        <v>275</v>
      </c>
      <c r="D3" s="35" t="s">
        <v>276</v>
      </c>
      <c r="E3" s="36" t="s">
        <v>292</v>
      </c>
      <c r="F3" s="36" t="s">
        <v>294</v>
      </c>
      <c r="G3" s="35" t="s">
        <v>277</v>
      </c>
      <c r="H3" s="35" t="s">
        <v>278</v>
      </c>
      <c r="I3" s="35" t="s">
        <v>279</v>
      </c>
      <c r="J3" s="37" t="s">
        <v>280</v>
      </c>
      <c r="K3" s="37" t="s">
        <v>281</v>
      </c>
      <c r="L3" s="37" t="s">
        <v>282</v>
      </c>
      <c r="M3" s="127" t="s">
        <v>289</v>
      </c>
      <c r="N3" s="128"/>
      <c r="O3" s="128"/>
      <c r="P3" s="128"/>
      <c r="Q3" s="128"/>
      <c r="R3" s="129"/>
      <c r="S3" s="38"/>
      <c r="T3" s="33" t="s">
        <v>293</v>
      </c>
      <c r="U3" s="33">
        <v>35</v>
      </c>
      <c r="V3" s="34"/>
      <c r="W3" s="34"/>
      <c r="X3" s="34"/>
    </row>
    <row r="4" spans="2:24" ht="25.05" customHeight="1" x14ac:dyDescent="0.25">
      <c r="B4" s="4" t="s">
        <v>314</v>
      </c>
      <c r="C4" s="5" t="s">
        <v>315</v>
      </c>
      <c r="D4" s="5" t="s">
        <v>316</v>
      </c>
      <c r="E4" s="5" t="s">
        <v>290</v>
      </c>
      <c r="F4" s="39">
        <f>IF(OR(B5="afwezig",B5="",E4="GOVAK_medewerker",E4=""),0,IF(OR(E4="voorzitter",E4="notulist"),17))</f>
        <v>0</v>
      </c>
      <c r="G4" s="5"/>
      <c r="H4" s="6"/>
      <c r="I4" s="6"/>
      <c r="J4" s="40">
        <f>IF(OR(B5="afwezig",B5=""),0,0.23*G4+H4+I4)</f>
        <v>0</v>
      </c>
      <c r="K4" s="40">
        <f>IF(OR(E4="GOVAK_medewerker",B5="afwezig",B5=""),0,18)</f>
        <v>0</v>
      </c>
      <c r="L4" s="39">
        <f>F4+J4+K4</f>
        <v>0</v>
      </c>
      <c r="M4" s="41"/>
      <c r="N4" s="41"/>
      <c r="O4" s="41"/>
      <c r="P4" s="41"/>
      <c r="Q4" s="41"/>
      <c r="R4" s="41"/>
      <c r="S4" s="41"/>
      <c r="T4" s="33"/>
      <c r="U4" s="33"/>
      <c r="V4" s="34"/>
      <c r="W4" s="34"/>
      <c r="X4" s="34"/>
    </row>
    <row r="5" spans="2:24" ht="25.05" customHeight="1" x14ac:dyDescent="0.3">
      <c r="B5" s="9"/>
      <c r="C5" s="126" t="s">
        <v>283</v>
      </c>
      <c r="D5" s="126"/>
      <c r="E5" s="7" t="s">
        <v>318</v>
      </c>
      <c r="F5" s="8" t="s">
        <v>319</v>
      </c>
      <c r="G5" s="8" t="s">
        <v>320</v>
      </c>
      <c r="H5" s="8" t="s">
        <v>321</v>
      </c>
      <c r="I5" s="10" t="s">
        <v>322</v>
      </c>
      <c r="J5" s="42"/>
      <c r="K5" s="43"/>
      <c r="L5" s="44"/>
      <c r="O5" s="32"/>
    </row>
    <row r="6" spans="2:24" ht="25.05" customHeight="1" x14ac:dyDescent="0.25">
      <c r="B6" s="4" t="s">
        <v>317</v>
      </c>
      <c r="C6" s="5"/>
      <c r="D6" s="5"/>
      <c r="E6" s="5" t="s">
        <v>291</v>
      </c>
      <c r="F6" s="39">
        <f>IF(OR(B7="afwezig",B7="",E6="GOVAK_medewerker",E6=""),0,IF(OR(E6="voorzitter",E6="notulist"),17))</f>
        <v>0</v>
      </c>
      <c r="G6" s="5"/>
      <c r="H6" s="6"/>
      <c r="I6" s="6"/>
      <c r="J6" s="40">
        <f>IF(OR(B7="afwezig",B7=""),0,0.23*G6+H6+I6)</f>
        <v>0</v>
      </c>
      <c r="K6" s="40">
        <f>IF(OR(E6="GOVAK_medewerker",B7="afwezig",B7=""),0,18)</f>
        <v>0</v>
      </c>
      <c r="L6" s="39">
        <f>F6+J6+K6</f>
        <v>0</v>
      </c>
      <c r="M6" s="41"/>
      <c r="N6" s="41"/>
      <c r="O6" s="41"/>
      <c r="P6" s="41"/>
      <c r="Q6" s="41"/>
      <c r="R6" s="41"/>
      <c r="S6" s="41"/>
      <c r="T6" s="33"/>
      <c r="U6" s="33"/>
      <c r="V6" s="34"/>
      <c r="W6" s="34"/>
      <c r="X6" s="34"/>
    </row>
    <row r="7" spans="2:24" ht="25.05" customHeight="1" x14ac:dyDescent="0.3">
      <c r="B7" s="9"/>
      <c r="C7" s="126" t="s">
        <v>283</v>
      </c>
      <c r="D7" s="126"/>
      <c r="E7" s="7" t="s">
        <v>284</v>
      </c>
      <c r="F7" s="8" t="s">
        <v>285</v>
      </c>
      <c r="G7" s="8" t="s">
        <v>285</v>
      </c>
      <c r="H7" s="8" t="s">
        <v>285</v>
      </c>
      <c r="I7" s="10" t="s">
        <v>286</v>
      </c>
      <c r="J7" s="42"/>
      <c r="K7" s="43"/>
      <c r="L7" s="44"/>
      <c r="O7" s="32"/>
    </row>
    <row r="8" spans="2:24" ht="25.05" customHeight="1" x14ac:dyDescent="0.25">
      <c r="B8" s="4"/>
      <c r="C8" s="5"/>
      <c r="D8" s="5"/>
      <c r="E8" s="5"/>
      <c r="F8" s="39">
        <f>IF(OR(B9="afwezig",B9="",E8="GOVAK_medewerker",E8=""),0,IF(OR(E8="voorzitter",E8="notulist"),17))</f>
        <v>0</v>
      </c>
      <c r="G8" s="5"/>
      <c r="H8" s="6"/>
      <c r="I8" s="6"/>
      <c r="J8" s="40">
        <f>IF(OR(B9="afwezig",B9=""),0,0.23*G8+H8+I8)</f>
        <v>0</v>
      </c>
      <c r="K8" s="40">
        <f>IF(OR(E8="GOVAK_medewerker",B9="afwezig",B9=""),0,18)</f>
        <v>0</v>
      </c>
      <c r="L8" s="39">
        <f>F8+J8+K8</f>
        <v>0</v>
      </c>
      <c r="M8" s="41"/>
      <c r="N8" s="41"/>
      <c r="O8" s="41"/>
      <c r="P8" s="41"/>
      <c r="Q8" s="41"/>
      <c r="R8" s="41"/>
      <c r="S8" s="41"/>
      <c r="T8" s="33"/>
      <c r="U8" s="33"/>
      <c r="V8" s="34"/>
      <c r="W8" s="34"/>
      <c r="X8" s="34"/>
    </row>
    <row r="9" spans="2:24" ht="25.05" customHeight="1" x14ac:dyDescent="0.3">
      <c r="B9" s="9"/>
      <c r="C9" s="126" t="s">
        <v>283</v>
      </c>
      <c r="D9" s="126"/>
      <c r="E9" s="7" t="s">
        <v>284</v>
      </c>
      <c r="F9" s="8" t="s">
        <v>285</v>
      </c>
      <c r="G9" s="8" t="s">
        <v>285</v>
      </c>
      <c r="H9" s="8" t="s">
        <v>285</v>
      </c>
      <c r="I9" s="10" t="s">
        <v>286</v>
      </c>
      <c r="J9" s="42"/>
      <c r="K9" s="43"/>
      <c r="L9" s="44"/>
      <c r="O9" s="32"/>
    </row>
    <row r="10" spans="2:24" ht="25.05" customHeight="1" x14ac:dyDescent="0.25">
      <c r="B10" s="4"/>
      <c r="C10" s="5"/>
      <c r="D10" s="5"/>
      <c r="E10" s="5"/>
      <c r="F10" s="39">
        <f>IF(OR(B11="afwezig",B11="",E10="GOVAK_medewerker",E10=""),0,IF(OR(E10="voorzitter",E10="notulist"),17))</f>
        <v>0</v>
      </c>
      <c r="G10" s="5"/>
      <c r="H10" s="6"/>
      <c r="I10" s="6"/>
      <c r="J10" s="40">
        <f>IF(OR(B11="afwezig",B11=""),0,0.23*G10+H10+I10)</f>
        <v>0</v>
      </c>
      <c r="K10" s="40">
        <f>IF(OR(E10="GOVAK_medewerker",B11="afwezig",B11=""),0,18)</f>
        <v>0</v>
      </c>
      <c r="L10" s="39">
        <f>F10+J10+K10</f>
        <v>0</v>
      </c>
      <c r="M10" s="41"/>
      <c r="N10" s="41"/>
      <c r="O10" s="41"/>
      <c r="P10" s="41"/>
      <c r="Q10" s="41"/>
      <c r="R10" s="41"/>
      <c r="S10" s="41"/>
      <c r="T10" s="33"/>
      <c r="U10" s="33"/>
      <c r="V10" s="34"/>
      <c r="W10" s="34"/>
      <c r="X10" s="34"/>
    </row>
    <row r="11" spans="2:24" ht="25.05" customHeight="1" x14ac:dyDescent="0.3">
      <c r="B11" s="9"/>
      <c r="C11" s="126" t="s">
        <v>283</v>
      </c>
      <c r="D11" s="126"/>
      <c r="E11" s="7" t="s">
        <v>284</v>
      </c>
      <c r="F11" s="8" t="s">
        <v>285</v>
      </c>
      <c r="G11" s="8" t="s">
        <v>285</v>
      </c>
      <c r="H11" s="8" t="s">
        <v>285</v>
      </c>
      <c r="I11" s="10" t="s">
        <v>286</v>
      </c>
      <c r="J11" s="42"/>
      <c r="K11" s="43"/>
      <c r="L11" s="44"/>
      <c r="O11" s="32"/>
    </row>
    <row r="12" spans="2:24" ht="25.05" customHeight="1" x14ac:dyDescent="0.25">
      <c r="B12" s="4"/>
      <c r="C12" s="5"/>
      <c r="D12" s="5"/>
      <c r="E12" s="5"/>
      <c r="F12" s="39">
        <f>IF(OR(B13="afwezig",B13="",E12="GOVAK_medewerker",E12=""),0,IF(OR(E12="voorzitter",E12="notulist"),17))</f>
        <v>0</v>
      </c>
      <c r="G12" s="5"/>
      <c r="H12" s="6"/>
      <c r="I12" s="6"/>
      <c r="J12" s="40">
        <f>IF(OR(B13="afwezig",B13=""),0,0.23*G12+H12+I12)</f>
        <v>0</v>
      </c>
      <c r="K12" s="40">
        <f>IF(OR(E12="GOVAK_medewerker",B13="afwezig",B13=""),0,18)</f>
        <v>0</v>
      </c>
      <c r="L12" s="39">
        <f>F12+J12+K12</f>
        <v>0</v>
      </c>
      <c r="M12" s="41"/>
      <c r="N12" s="41"/>
      <c r="O12" s="41"/>
      <c r="P12" s="41"/>
      <c r="Q12" s="41"/>
      <c r="R12" s="41"/>
      <c r="S12" s="41"/>
      <c r="T12" s="33"/>
      <c r="U12" s="33"/>
      <c r="V12" s="34"/>
      <c r="W12" s="34"/>
      <c r="X12" s="34"/>
    </row>
    <row r="13" spans="2:24" ht="25.05" customHeight="1" x14ac:dyDescent="0.3">
      <c r="B13" s="9"/>
      <c r="C13" s="126" t="s">
        <v>283</v>
      </c>
      <c r="D13" s="126"/>
      <c r="E13" s="7" t="s">
        <v>284</v>
      </c>
      <c r="F13" s="8" t="s">
        <v>285</v>
      </c>
      <c r="G13" s="8" t="s">
        <v>285</v>
      </c>
      <c r="H13" s="8" t="s">
        <v>285</v>
      </c>
      <c r="I13" s="10" t="s">
        <v>286</v>
      </c>
      <c r="J13" s="42"/>
      <c r="K13" s="43"/>
      <c r="L13" s="44"/>
      <c r="O13" s="32"/>
    </row>
    <row r="14" spans="2:24" ht="25.05" customHeight="1" x14ac:dyDescent="0.25">
      <c r="B14" s="4"/>
      <c r="C14" s="5"/>
      <c r="D14" s="5"/>
      <c r="E14" s="5"/>
      <c r="F14" s="39">
        <f>IF(OR(B15="afwezig",B15="",E14="GOVAK_medewerker",E14=""),0,IF(OR(E14="voorzitter",E14="notulist"),17))</f>
        <v>0</v>
      </c>
      <c r="G14" s="5"/>
      <c r="H14" s="6"/>
      <c r="I14" s="6"/>
      <c r="J14" s="40">
        <f>IF(OR(B15="afwezig",B15=""),0,0.23*G14+H14+I14)</f>
        <v>0</v>
      </c>
      <c r="K14" s="40">
        <f>IF(OR(E14="GOVAK_medewerker",B15="afwezig",B15=""),0,18)</f>
        <v>0</v>
      </c>
      <c r="L14" s="39">
        <f>F14+J14+K14</f>
        <v>0</v>
      </c>
    </row>
    <row r="15" spans="2:24" ht="25.05" customHeight="1" x14ac:dyDescent="0.3">
      <c r="B15" s="9"/>
      <c r="C15" s="126" t="s">
        <v>283</v>
      </c>
      <c r="D15" s="126"/>
      <c r="E15" s="7" t="s">
        <v>284</v>
      </c>
      <c r="F15" s="8" t="s">
        <v>285</v>
      </c>
      <c r="G15" s="8" t="s">
        <v>285</v>
      </c>
      <c r="H15" s="8" t="s">
        <v>285</v>
      </c>
      <c r="I15" s="10" t="s">
        <v>286</v>
      </c>
      <c r="J15" s="42"/>
      <c r="K15" s="43"/>
      <c r="L15" s="44"/>
    </row>
    <row r="16" spans="2:24" ht="25.05" customHeight="1" x14ac:dyDescent="0.25">
      <c r="B16" s="4"/>
      <c r="C16" s="5"/>
      <c r="D16" s="5"/>
      <c r="E16" s="5"/>
      <c r="F16" s="39">
        <f>IF(OR(B17="afwezig",B17="",E16="GOVAK_medewerker",E16=""),0,IF(OR(E16="voorzitter",E16="notulist"),17))</f>
        <v>0</v>
      </c>
      <c r="G16" s="5"/>
      <c r="H16" s="6"/>
      <c r="I16" s="6"/>
      <c r="J16" s="40">
        <f>IF(OR(B17="afwezig",B17=""),0,0.23*G16+H16+I16)</f>
        <v>0</v>
      </c>
      <c r="K16" s="40">
        <f>IF(OR(E16="GOVAK_medewerker",B17="afwezig",B17=""),0,18)</f>
        <v>0</v>
      </c>
      <c r="L16" s="39">
        <f>F16+J16+K16</f>
        <v>0</v>
      </c>
    </row>
    <row r="17" spans="2:12" ht="25.05" customHeight="1" x14ac:dyDescent="0.3">
      <c r="B17" s="9"/>
      <c r="C17" s="126" t="s">
        <v>283</v>
      </c>
      <c r="D17" s="126"/>
      <c r="E17" s="7" t="s">
        <v>284</v>
      </c>
      <c r="F17" s="8" t="s">
        <v>285</v>
      </c>
      <c r="G17" s="8" t="s">
        <v>285</v>
      </c>
      <c r="H17" s="8" t="s">
        <v>285</v>
      </c>
      <c r="I17" s="10" t="s">
        <v>286</v>
      </c>
      <c r="J17" s="42"/>
      <c r="K17" s="43"/>
      <c r="L17" s="44"/>
    </row>
    <row r="18" spans="2:12" ht="25.05" customHeight="1" x14ac:dyDescent="0.25">
      <c r="B18" s="4"/>
      <c r="C18" s="5"/>
      <c r="D18" s="5"/>
      <c r="E18" s="5"/>
      <c r="F18" s="39">
        <f>IF(OR(B19="afwezig",B19="",E18="GOVAK_medewerker",E18=""),0,IF(OR(E18="voorzitter",E18="notulist"),17))</f>
        <v>0</v>
      </c>
      <c r="G18" s="5"/>
      <c r="H18" s="6"/>
      <c r="I18" s="6"/>
      <c r="J18" s="40">
        <f>IF(OR(B19="afwezig",B19=""),0,0.23*G18+H18+I18)</f>
        <v>0</v>
      </c>
      <c r="K18" s="40">
        <f>IF(OR(E18="GOVAK_medewerker",B19="afwezig",B19=""),0,18)</f>
        <v>0</v>
      </c>
      <c r="L18" s="39">
        <f>F18+J18+K18</f>
        <v>0</v>
      </c>
    </row>
    <row r="19" spans="2:12" ht="25.05" customHeight="1" x14ac:dyDescent="0.3">
      <c r="B19" s="9"/>
      <c r="C19" s="126" t="s">
        <v>283</v>
      </c>
      <c r="D19" s="126"/>
      <c r="E19" s="7" t="s">
        <v>284</v>
      </c>
      <c r="F19" s="8" t="s">
        <v>285</v>
      </c>
      <c r="G19" s="8" t="s">
        <v>285</v>
      </c>
      <c r="H19" s="8" t="s">
        <v>285</v>
      </c>
      <c r="I19" s="10" t="s">
        <v>286</v>
      </c>
      <c r="J19" s="42"/>
      <c r="K19" s="43"/>
      <c r="L19" s="44"/>
    </row>
    <row r="20" spans="2:12" ht="25.05" customHeight="1" x14ac:dyDescent="0.25">
      <c r="B20" s="4"/>
      <c r="C20" s="5"/>
      <c r="D20" s="5"/>
      <c r="E20" s="5"/>
      <c r="F20" s="39">
        <f>IF(OR(B21="afwezig",B21="",E20="GOVAK_medewerker",E20=""),0,IF(OR(E20="voorzitter",E20="notulist"),17))</f>
        <v>0</v>
      </c>
      <c r="G20" s="5"/>
      <c r="H20" s="6"/>
      <c r="I20" s="6"/>
      <c r="J20" s="40">
        <f>IF(OR(B21="afwezig",B21=""),0,0.23*G20+H20+I20)</f>
        <v>0</v>
      </c>
      <c r="K20" s="40">
        <f>IF(OR(E20="GOVAK_medewerker",B21="afwezig",B21=""),0,18)</f>
        <v>0</v>
      </c>
      <c r="L20" s="39">
        <f>F20+J20+K20</f>
        <v>0</v>
      </c>
    </row>
    <row r="21" spans="2:12" ht="25.05" customHeight="1" x14ac:dyDescent="0.3">
      <c r="B21" s="9"/>
      <c r="C21" s="126" t="s">
        <v>283</v>
      </c>
      <c r="D21" s="126"/>
      <c r="E21" s="7" t="s">
        <v>284</v>
      </c>
      <c r="F21" s="8" t="s">
        <v>285</v>
      </c>
      <c r="G21" s="8" t="s">
        <v>285</v>
      </c>
      <c r="H21" s="8" t="s">
        <v>285</v>
      </c>
      <c r="I21" s="10" t="s">
        <v>286</v>
      </c>
      <c r="J21" s="42"/>
      <c r="K21" s="43"/>
      <c r="L21" s="44"/>
    </row>
    <row r="22" spans="2:12" ht="25.05" customHeight="1" x14ac:dyDescent="0.25">
      <c r="B22" s="4"/>
      <c r="C22" s="5"/>
      <c r="D22" s="5"/>
      <c r="E22" s="5"/>
      <c r="F22" s="39">
        <f>IF(OR(B23="afwezig",B23="",E22="GOVAK_medewerker",E22=""),0,IF(OR(E22="voorzitter",E22="notulist"),17))</f>
        <v>0</v>
      </c>
      <c r="G22" s="5"/>
      <c r="H22" s="6"/>
      <c r="I22" s="6"/>
      <c r="J22" s="40">
        <f>IF(OR(B23="afwezig",B23=""),0,0.23*G22+H22+I22)</f>
        <v>0</v>
      </c>
      <c r="K22" s="40">
        <f>IF(OR(E22="GOVAK_medewerker",B23="afwezig",B23=""),0,18)</f>
        <v>0</v>
      </c>
      <c r="L22" s="39">
        <f>F22+J22+K22</f>
        <v>0</v>
      </c>
    </row>
    <row r="23" spans="2:12" ht="25.05" customHeight="1" x14ac:dyDescent="0.3">
      <c r="B23" s="9"/>
      <c r="C23" s="126" t="s">
        <v>283</v>
      </c>
      <c r="D23" s="126"/>
      <c r="E23" s="7" t="s">
        <v>284</v>
      </c>
      <c r="F23" s="8" t="s">
        <v>285</v>
      </c>
      <c r="G23" s="8" t="s">
        <v>285</v>
      </c>
      <c r="H23" s="8" t="s">
        <v>285</v>
      </c>
      <c r="I23" s="10" t="s">
        <v>286</v>
      </c>
      <c r="J23" s="42"/>
      <c r="K23" s="43"/>
      <c r="L23" s="44"/>
    </row>
    <row r="24" spans="2:12" ht="25.05" customHeight="1" x14ac:dyDescent="0.25">
      <c r="B24" s="4"/>
      <c r="C24" s="5"/>
      <c r="D24" s="5"/>
      <c r="E24" s="5"/>
      <c r="F24" s="39">
        <f>IF(OR(B25="afwezig",B25="",E24="GOVAK_medewerker",E24=""),0,IF(OR(E24="voorzitter",E24="notulist"),17))</f>
        <v>0</v>
      </c>
      <c r="G24" s="5"/>
      <c r="H24" s="6"/>
      <c r="I24" s="6"/>
      <c r="J24" s="40">
        <f>IF(OR(B25="afwezig",B25=""),0,0.23*G24+H24+I24)</f>
        <v>0</v>
      </c>
      <c r="K24" s="40">
        <f>IF(OR(E24="GOVAK_medewerker",B25="afwezig",B25=""),0,18)</f>
        <v>0</v>
      </c>
      <c r="L24" s="39">
        <f>F24+J24+K24</f>
        <v>0</v>
      </c>
    </row>
    <row r="25" spans="2:12" ht="25.05" customHeight="1" x14ac:dyDescent="0.3">
      <c r="B25" s="9"/>
      <c r="C25" s="126" t="s">
        <v>283</v>
      </c>
      <c r="D25" s="126"/>
      <c r="E25" s="7" t="s">
        <v>284</v>
      </c>
      <c r="F25" s="8" t="s">
        <v>285</v>
      </c>
      <c r="G25" s="8" t="s">
        <v>285</v>
      </c>
      <c r="H25" s="8" t="s">
        <v>285</v>
      </c>
      <c r="I25" s="10" t="s">
        <v>286</v>
      </c>
      <c r="J25" s="42"/>
      <c r="K25" s="43"/>
      <c r="L25" s="44"/>
    </row>
    <row r="26" spans="2:12" ht="25.05" customHeight="1" x14ac:dyDescent="0.25">
      <c r="B26" s="4"/>
      <c r="C26" s="5"/>
      <c r="D26" s="5"/>
      <c r="E26" s="5"/>
      <c r="F26" s="39">
        <f>IF(OR(B27="afwezig",B27="",E26="GOVAK_medewerker",E26=""),0,IF(OR(E26="voorzitter",E26="notulist"),17))</f>
        <v>0</v>
      </c>
      <c r="G26" s="5"/>
      <c r="H26" s="6"/>
      <c r="I26" s="6"/>
      <c r="J26" s="40">
        <f>IF(OR(B27="afwezig",B27=""),0,0.23*G26+H26+I26)</f>
        <v>0</v>
      </c>
      <c r="K26" s="40">
        <f>IF(OR(E26="GOVAK_medewerker",B27="afwezig",B27=""),0,18)</f>
        <v>0</v>
      </c>
      <c r="L26" s="39">
        <f>F26+J26+K26</f>
        <v>0</v>
      </c>
    </row>
    <row r="27" spans="2:12" ht="25.05" customHeight="1" x14ac:dyDescent="0.3">
      <c r="B27" s="9"/>
      <c r="C27" s="126" t="s">
        <v>283</v>
      </c>
      <c r="D27" s="126"/>
      <c r="E27" s="7" t="s">
        <v>284</v>
      </c>
      <c r="F27" s="8" t="s">
        <v>285</v>
      </c>
      <c r="G27" s="8" t="s">
        <v>285</v>
      </c>
      <c r="H27" s="8" t="s">
        <v>285</v>
      </c>
      <c r="I27" s="10" t="s">
        <v>286</v>
      </c>
      <c r="J27" s="42"/>
      <c r="K27" s="43"/>
      <c r="L27" s="44"/>
    </row>
    <row r="28" spans="2:12" ht="25.05" customHeight="1" x14ac:dyDescent="0.25">
      <c r="B28" s="4"/>
      <c r="C28" s="5"/>
      <c r="D28" s="5"/>
      <c r="E28" s="5"/>
      <c r="F28" s="39">
        <f>IF(OR(B29="afwezig",B29="",E28="GOVAK_medewerker",E28=""),0,IF(OR(E28="voorzitter",E28="notulist"),17))</f>
        <v>0</v>
      </c>
      <c r="G28" s="5"/>
      <c r="H28" s="6"/>
      <c r="I28" s="6"/>
      <c r="J28" s="40">
        <f>IF(OR(B29="afwezig",B29=""),0,0.23*G28+H28+I28)</f>
        <v>0</v>
      </c>
      <c r="K28" s="40">
        <f>IF(OR(E28="GOVAK_medewerker",B29="afwezig",B29=""),0,18)</f>
        <v>0</v>
      </c>
      <c r="L28" s="39">
        <f>F28+J28+K28</f>
        <v>0</v>
      </c>
    </row>
    <row r="29" spans="2:12" ht="25.05" customHeight="1" x14ac:dyDescent="0.3">
      <c r="B29" s="9"/>
      <c r="C29" s="126" t="s">
        <v>283</v>
      </c>
      <c r="D29" s="126"/>
      <c r="E29" s="7" t="s">
        <v>284</v>
      </c>
      <c r="F29" s="8" t="s">
        <v>285</v>
      </c>
      <c r="G29" s="8" t="s">
        <v>285</v>
      </c>
      <c r="H29" s="8" t="s">
        <v>285</v>
      </c>
      <c r="I29" s="10" t="s">
        <v>286</v>
      </c>
      <c r="J29" s="42"/>
      <c r="K29" s="43"/>
      <c r="L29" s="44"/>
    </row>
    <row r="30" spans="2:12" ht="25.05" customHeight="1" x14ac:dyDescent="0.25">
      <c r="B30" s="4"/>
      <c r="C30" s="5"/>
      <c r="D30" s="5"/>
      <c r="E30" s="5"/>
      <c r="F30" s="39">
        <f>IF(OR(B31="afwezig",B31="",E30="GOVAK_medewerker",E30=""),0,IF(OR(E30="voorzitter",E30="notulist"),17))</f>
        <v>0</v>
      </c>
      <c r="G30" s="5"/>
      <c r="H30" s="6"/>
      <c r="I30" s="6"/>
      <c r="J30" s="40">
        <f>IF(OR(B31="afwezig",B31=""),0,0.23*G30+H30+I30)</f>
        <v>0</v>
      </c>
      <c r="K30" s="40">
        <f>IF(OR(E30="GOVAK_medewerker",B31="afwezig",B31=""),0,18)</f>
        <v>0</v>
      </c>
      <c r="L30" s="39">
        <f>F30+J30+K30</f>
        <v>0</v>
      </c>
    </row>
    <row r="31" spans="2:12" ht="25.05" customHeight="1" x14ac:dyDescent="0.3">
      <c r="B31" s="9"/>
      <c r="C31" s="126" t="s">
        <v>283</v>
      </c>
      <c r="D31" s="126"/>
      <c r="E31" s="7" t="s">
        <v>284</v>
      </c>
      <c r="F31" s="8" t="s">
        <v>285</v>
      </c>
      <c r="G31" s="8" t="s">
        <v>285</v>
      </c>
      <c r="H31" s="8" t="s">
        <v>285</v>
      </c>
      <c r="I31" s="10" t="s">
        <v>286</v>
      </c>
      <c r="J31" s="42"/>
      <c r="K31" s="43"/>
      <c r="L31" s="44"/>
    </row>
    <row r="32" spans="2:12" ht="25.05" customHeight="1" x14ac:dyDescent="0.25">
      <c r="B32" s="4"/>
      <c r="C32" s="5"/>
      <c r="D32" s="5"/>
      <c r="E32" s="5"/>
      <c r="F32" s="39">
        <f>IF(OR(B33="afwezig",B33="",E32="GOVAK_medewerker",E32=""),0,IF(OR(E32="voorzitter",E32="notulist"),17))</f>
        <v>0</v>
      </c>
      <c r="G32" s="5"/>
      <c r="H32" s="6"/>
      <c r="I32" s="6"/>
      <c r="J32" s="40">
        <f>IF(OR(B33="afwezig",B33=""),0,0.23*G32+H32+I32)</f>
        <v>0</v>
      </c>
      <c r="K32" s="40">
        <f>IF(OR(E32="GOVAK_medewerker",B33="afwezig",B33=""),0,18)</f>
        <v>0</v>
      </c>
      <c r="L32" s="39">
        <f>F32+J32+K32</f>
        <v>0</v>
      </c>
    </row>
    <row r="33" spans="2:12" ht="25.05" customHeight="1" x14ac:dyDescent="0.3">
      <c r="B33" s="9"/>
      <c r="C33" s="126" t="s">
        <v>283</v>
      </c>
      <c r="D33" s="126"/>
      <c r="E33" s="7" t="s">
        <v>284</v>
      </c>
      <c r="F33" s="8" t="s">
        <v>285</v>
      </c>
      <c r="G33" s="8" t="s">
        <v>285</v>
      </c>
      <c r="H33" s="8" t="s">
        <v>285</v>
      </c>
      <c r="I33" s="10" t="s">
        <v>286</v>
      </c>
      <c r="J33" s="42"/>
      <c r="K33" s="43"/>
      <c r="L33" s="44"/>
    </row>
    <row r="34" spans="2:12" ht="25.05" customHeight="1" x14ac:dyDescent="0.25">
      <c r="B34" s="4"/>
      <c r="C34" s="5"/>
      <c r="D34" s="5"/>
      <c r="E34" s="5"/>
      <c r="F34" s="39">
        <f>IF(OR(B35="afwezig",B35="",E34="GOVAK_medewerker",E34=""),0,IF(OR(E34="voorzitter",E34="notulist"),17))</f>
        <v>0</v>
      </c>
      <c r="G34" s="5"/>
      <c r="H34" s="6"/>
      <c r="I34" s="6"/>
      <c r="J34" s="40">
        <f>IF(OR(B35="afwezig",B35=""),0,0.23*G34+H34+I34)</f>
        <v>0</v>
      </c>
      <c r="K34" s="40">
        <f>IF(OR(E34="GOVAK_medewerker",B35="afwezig",B35=""),0,18)</f>
        <v>0</v>
      </c>
      <c r="L34" s="39">
        <f>F34+J34+K34</f>
        <v>0</v>
      </c>
    </row>
    <row r="35" spans="2:12" ht="25.05" customHeight="1" x14ac:dyDescent="0.3">
      <c r="B35" s="9"/>
      <c r="C35" s="126" t="s">
        <v>283</v>
      </c>
      <c r="D35" s="126"/>
      <c r="E35" s="7" t="s">
        <v>284</v>
      </c>
      <c r="F35" s="8" t="s">
        <v>285</v>
      </c>
      <c r="G35" s="8" t="s">
        <v>285</v>
      </c>
      <c r="H35" s="8" t="s">
        <v>285</v>
      </c>
      <c r="I35" s="10" t="s">
        <v>286</v>
      </c>
      <c r="J35" s="42"/>
      <c r="K35" s="43"/>
      <c r="L35" s="44"/>
    </row>
    <row r="36" spans="2:12" ht="25.05" customHeight="1" x14ac:dyDescent="0.25">
      <c r="B36" s="4"/>
      <c r="C36" s="5"/>
      <c r="D36" s="5"/>
      <c r="E36" s="5"/>
      <c r="F36" s="39">
        <f>IF(OR(B37="afwezig",B37="",E36="GOVAK_medewerker",E36=""),0,IF(OR(E36="voorzitter",E36="notulist"),17))</f>
        <v>0</v>
      </c>
      <c r="G36" s="5"/>
      <c r="H36" s="6"/>
      <c r="I36" s="6"/>
      <c r="J36" s="40">
        <f>IF(OR(B37="afwezig",B37=""),0,0.23*G36+H36+I36)</f>
        <v>0</v>
      </c>
      <c r="K36" s="40">
        <f>IF(OR(E36="GOVAK_medewerker",B37="afwezig",B37=""),0,18)</f>
        <v>0</v>
      </c>
      <c r="L36" s="39">
        <f>F36+J36+K36</f>
        <v>0</v>
      </c>
    </row>
    <row r="37" spans="2:12" ht="25.05" customHeight="1" x14ac:dyDescent="0.3">
      <c r="B37" s="9"/>
      <c r="C37" s="126" t="s">
        <v>283</v>
      </c>
      <c r="D37" s="126"/>
      <c r="E37" s="7" t="s">
        <v>284</v>
      </c>
      <c r="F37" s="8" t="s">
        <v>285</v>
      </c>
      <c r="G37" s="8" t="s">
        <v>285</v>
      </c>
      <c r="H37" s="8" t="s">
        <v>285</v>
      </c>
      <c r="I37" s="10" t="s">
        <v>286</v>
      </c>
      <c r="J37" s="42"/>
      <c r="K37" s="43"/>
      <c r="L37" s="44"/>
    </row>
    <row r="38" spans="2:12" ht="25.05" customHeight="1" x14ac:dyDescent="0.25">
      <c r="B38" s="4"/>
      <c r="C38" s="5"/>
      <c r="D38" s="5"/>
      <c r="E38" s="5"/>
      <c r="F38" s="39">
        <f>IF(OR(B39="afwezig",B39="",E38="GOVAK_medewerker",E38=""),0,IF(OR(E38="voorzitter",E38="notulist"),17))</f>
        <v>0</v>
      </c>
      <c r="G38" s="5"/>
      <c r="H38" s="6"/>
      <c r="I38" s="6"/>
      <c r="J38" s="40">
        <f>IF(OR(B39="afwezig",B39=""),0,0.23*G38+H38+I38)</f>
        <v>0</v>
      </c>
      <c r="K38" s="40">
        <f>IF(OR(E38="GOVAK_medewerker",B39="afwezig",B39=""),0,18)</f>
        <v>0</v>
      </c>
      <c r="L38" s="39">
        <f>F38+J38+K38</f>
        <v>0</v>
      </c>
    </row>
    <row r="39" spans="2:12" ht="25.05" customHeight="1" x14ac:dyDescent="0.3">
      <c r="B39" s="9"/>
      <c r="C39" s="126" t="s">
        <v>283</v>
      </c>
      <c r="D39" s="126"/>
      <c r="E39" s="7" t="s">
        <v>284</v>
      </c>
      <c r="F39" s="8" t="s">
        <v>285</v>
      </c>
      <c r="G39" s="8" t="s">
        <v>285</v>
      </c>
      <c r="H39" s="8" t="s">
        <v>285</v>
      </c>
      <c r="I39" s="10" t="s">
        <v>286</v>
      </c>
      <c r="J39" s="42"/>
      <c r="K39" s="43"/>
      <c r="L39" s="44"/>
    </row>
    <row r="40" spans="2:12" ht="25.05" customHeight="1" x14ac:dyDescent="0.25">
      <c r="B40" s="4"/>
      <c r="C40" s="5"/>
      <c r="D40" s="5"/>
      <c r="E40" s="5"/>
      <c r="F40" s="39">
        <f>IF(OR(B41="afwezig",B41="",E40="GOVAK_medewerker",E40=""),0,IF(OR(E40="voorzitter",E40="notulist"),17))</f>
        <v>0</v>
      </c>
      <c r="G40" s="5"/>
      <c r="H40" s="6"/>
      <c r="I40" s="6"/>
      <c r="J40" s="40">
        <f>IF(OR(B41="afwezig",B41=""),0,0.23*G40+H40+I40)</f>
        <v>0</v>
      </c>
      <c r="K40" s="40">
        <f>IF(OR(E40="GOVAK_medewerker",B41="afwezig",B41=""),0,18)</f>
        <v>0</v>
      </c>
      <c r="L40" s="39">
        <f>F40+J40+K40</f>
        <v>0</v>
      </c>
    </row>
    <row r="41" spans="2:12" ht="25.05" customHeight="1" x14ac:dyDescent="0.3">
      <c r="B41" s="9"/>
      <c r="C41" s="126" t="s">
        <v>283</v>
      </c>
      <c r="D41" s="126"/>
      <c r="E41" s="7" t="s">
        <v>284</v>
      </c>
      <c r="F41" s="8" t="s">
        <v>285</v>
      </c>
      <c r="G41" s="8" t="s">
        <v>285</v>
      </c>
      <c r="H41" s="8" t="s">
        <v>285</v>
      </c>
      <c r="I41" s="10" t="s">
        <v>286</v>
      </c>
      <c r="J41" s="42"/>
      <c r="K41" s="43"/>
      <c r="L41" s="44"/>
    </row>
    <row r="42" spans="2:12" ht="25.05" customHeight="1" x14ac:dyDescent="0.25">
      <c r="B42" s="4"/>
      <c r="C42" s="5"/>
      <c r="D42" s="5"/>
      <c r="E42" s="5"/>
      <c r="F42" s="39">
        <f>IF(OR(B43="afwezig",B43="",E42="GOVAK_medewerker",E42=""),0,IF(OR(E42="voorzitter",E42="notulist"),17))</f>
        <v>0</v>
      </c>
      <c r="G42" s="5"/>
      <c r="H42" s="6"/>
      <c r="I42" s="6"/>
      <c r="J42" s="40">
        <f>IF(OR(B43="afwezig",B43=""),0,0.23*G42+H42+I42)</f>
        <v>0</v>
      </c>
      <c r="K42" s="40">
        <f>IF(OR(E42="GOVAK_medewerker",B43="afwezig",B43=""),0,18)</f>
        <v>0</v>
      </c>
      <c r="L42" s="39">
        <f>F42+J42+K42</f>
        <v>0</v>
      </c>
    </row>
    <row r="43" spans="2:12" ht="25.05" customHeight="1" x14ac:dyDescent="0.3">
      <c r="B43" s="9"/>
      <c r="C43" s="126" t="s">
        <v>283</v>
      </c>
      <c r="D43" s="126"/>
      <c r="E43" s="7" t="s">
        <v>284</v>
      </c>
      <c r="F43" s="8" t="s">
        <v>285</v>
      </c>
      <c r="G43" s="8" t="s">
        <v>285</v>
      </c>
      <c r="H43" s="8" t="s">
        <v>285</v>
      </c>
      <c r="I43" s="10" t="s">
        <v>286</v>
      </c>
      <c r="J43" s="42"/>
      <c r="K43" s="43"/>
      <c r="L43" s="44"/>
    </row>
    <row r="44" spans="2:12" ht="25.05" customHeight="1" x14ac:dyDescent="0.25">
      <c r="B44" s="4"/>
      <c r="C44" s="5"/>
      <c r="D44" s="5"/>
      <c r="E44" s="5"/>
      <c r="F44" s="39">
        <f>IF(OR(B45="afwezig",B45="",E44="GOVAK_medewerker",E44=""),0,IF(OR(E44="voorzitter",E44="notulist"),17))</f>
        <v>0</v>
      </c>
      <c r="G44" s="5"/>
      <c r="H44" s="6"/>
      <c r="I44" s="6"/>
      <c r="J44" s="40">
        <f>IF(OR(B45="afwezig",B45=""),0,0.23*G44+H44+I44)</f>
        <v>0</v>
      </c>
      <c r="K44" s="40">
        <f>IF(OR(E44="GOVAK_medewerker",B45="afwezig",B45=""),0,18)</f>
        <v>0</v>
      </c>
      <c r="L44" s="39">
        <f>F44+J44+K44</f>
        <v>0</v>
      </c>
    </row>
    <row r="45" spans="2:12" ht="25.05" customHeight="1" x14ac:dyDescent="0.3">
      <c r="B45" s="9"/>
      <c r="C45" s="126" t="s">
        <v>283</v>
      </c>
      <c r="D45" s="126"/>
      <c r="E45" s="7" t="s">
        <v>284</v>
      </c>
      <c r="F45" s="8" t="s">
        <v>285</v>
      </c>
      <c r="G45" s="8" t="s">
        <v>285</v>
      </c>
      <c r="H45" s="8" t="s">
        <v>285</v>
      </c>
      <c r="I45" s="10" t="s">
        <v>286</v>
      </c>
      <c r="J45" s="42"/>
      <c r="K45" s="43"/>
      <c r="L45" s="44"/>
    </row>
    <row r="46" spans="2:12" ht="25.05" customHeight="1" x14ac:dyDescent="0.25">
      <c r="B46" s="4"/>
      <c r="C46" s="5"/>
      <c r="D46" s="5"/>
      <c r="E46" s="5"/>
      <c r="F46" s="39">
        <f>IF(OR(B47="afwezig",B47="",E46="GOVAK_medewerker",E46=""),0,IF(OR(E46="voorzitter",E46="notulist"),17))</f>
        <v>0</v>
      </c>
      <c r="G46" s="5"/>
      <c r="H46" s="6"/>
      <c r="I46" s="6"/>
      <c r="J46" s="40">
        <f>IF(OR(B47="afwezig",B47=""),0,0.23*G46+H46+I46)</f>
        <v>0</v>
      </c>
      <c r="K46" s="40">
        <f>IF(OR(E46="GOVAK_medewerker",B47="afwezig",B47=""),0,18)</f>
        <v>0</v>
      </c>
      <c r="L46" s="39">
        <f>F46+J46+K46</f>
        <v>0</v>
      </c>
    </row>
    <row r="47" spans="2:12" ht="25.05" customHeight="1" x14ac:dyDescent="0.3">
      <c r="B47" s="9"/>
      <c r="C47" s="126" t="s">
        <v>283</v>
      </c>
      <c r="D47" s="126"/>
      <c r="E47" s="7" t="s">
        <v>284</v>
      </c>
      <c r="F47" s="8" t="s">
        <v>285</v>
      </c>
      <c r="G47" s="8" t="s">
        <v>285</v>
      </c>
      <c r="H47" s="8" t="s">
        <v>285</v>
      </c>
      <c r="I47" s="10" t="s">
        <v>286</v>
      </c>
      <c r="J47" s="42"/>
      <c r="K47" s="43"/>
      <c r="L47" s="44"/>
    </row>
    <row r="48" spans="2:12" ht="25.05" customHeight="1" x14ac:dyDescent="0.25">
      <c r="B48" s="4"/>
      <c r="C48" s="5"/>
      <c r="D48" s="5"/>
      <c r="E48" s="5"/>
      <c r="F48" s="39">
        <f>IF(OR(B49="afwezig",B49="",E48="GOVAK_medewerker",E48=""),0,IF(OR(E48="voorzitter",E48="notulist"),17))</f>
        <v>0</v>
      </c>
      <c r="G48" s="5"/>
      <c r="H48" s="6"/>
      <c r="I48" s="6"/>
      <c r="J48" s="40">
        <f>IF(OR(B49="afwezig",B49=""),0,0.23*G48+H48+I48)</f>
        <v>0</v>
      </c>
      <c r="K48" s="40">
        <f>IF(OR(E48="GOVAK_medewerker",B49="afwezig",B49=""),0,18)</f>
        <v>0</v>
      </c>
      <c r="L48" s="39">
        <f>F48+J48+K48</f>
        <v>0</v>
      </c>
    </row>
    <row r="49" spans="2:12" ht="25.05" customHeight="1" x14ac:dyDescent="0.3">
      <c r="B49" s="9"/>
      <c r="C49" s="126" t="s">
        <v>283</v>
      </c>
      <c r="D49" s="126"/>
      <c r="E49" s="7" t="s">
        <v>284</v>
      </c>
      <c r="F49" s="8" t="s">
        <v>285</v>
      </c>
      <c r="G49" s="8" t="s">
        <v>285</v>
      </c>
      <c r="H49" s="8" t="s">
        <v>285</v>
      </c>
      <c r="I49" s="10" t="s">
        <v>286</v>
      </c>
      <c r="J49" s="42"/>
      <c r="K49" s="43"/>
      <c r="L49" s="44"/>
    </row>
    <row r="50" spans="2:12" ht="25.05" customHeight="1" x14ac:dyDescent="0.25">
      <c r="B50" s="4"/>
      <c r="C50" s="5"/>
      <c r="D50" s="5"/>
      <c r="E50" s="5"/>
      <c r="F50" s="39">
        <f>IF(OR(B51="afwezig",B51="",E50="GOVAK_medewerker",E50=""),0,IF(OR(E50="voorzitter",E50="notulist"),17))</f>
        <v>0</v>
      </c>
      <c r="G50" s="5"/>
      <c r="H50" s="6"/>
      <c r="I50" s="6"/>
      <c r="J50" s="40">
        <f>IF(OR(B51="afwezig",B51=""),0,0.23*G50+H50+I50)</f>
        <v>0</v>
      </c>
      <c r="K50" s="40">
        <f>IF(OR(E50="GOVAK_medewerker",B51="afwezig",B51=""),0,18)</f>
        <v>0</v>
      </c>
      <c r="L50" s="39">
        <f>F50+J50+K50</f>
        <v>0</v>
      </c>
    </row>
    <row r="51" spans="2:12" ht="25.05" customHeight="1" x14ac:dyDescent="0.3">
      <c r="B51" s="9"/>
      <c r="C51" s="126" t="s">
        <v>283</v>
      </c>
      <c r="D51" s="126"/>
      <c r="E51" s="7" t="s">
        <v>284</v>
      </c>
      <c r="F51" s="8" t="s">
        <v>285</v>
      </c>
      <c r="G51" s="8" t="s">
        <v>285</v>
      </c>
      <c r="H51" s="8" t="s">
        <v>285</v>
      </c>
      <c r="I51" s="10" t="s">
        <v>286</v>
      </c>
      <c r="J51" s="42"/>
      <c r="K51" s="43"/>
      <c r="L51" s="44"/>
    </row>
    <row r="52" spans="2:12" ht="25.05" customHeight="1" x14ac:dyDescent="0.25">
      <c r="B52" s="4"/>
      <c r="C52" s="5"/>
      <c r="D52" s="5"/>
      <c r="E52" s="5"/>
      <c r="F52" s="39">
        <f>IF(OR(B53="afwezig",B53="",E52="GOVAK_medewerker",E52=""),0,IF(OR(E52="voorzitter",E52="notulist"),17))</f>
        <v>0</v>
      </c>
      <c r="G52" s="5"/>
      <c r="H52" s="6"/>
      <c r="I52" s="6"/>
      <c r="J52" s="40">
        <f>IF(OR(B53="afwezig",B53=""),0,0.23*G52+H52+I52)</f>
        <v>0</v>
      </c>
      <c r="K52" s="40">
        <f>IF(OR(E52="GOVAK_medewerker",B53="afwezig",B53=""),0,18)</f>
        <v>0</v>
      </c>
      <c r="L52" s="39">
        <f>F52+J52+K52</f>
        <v>0</v>
      </c>
    </row>
    <row r="53" spans="2:12" ht="25.05" customHeight="1" x14ac:dyDescent="0.3">
      <c r="B53" s="9"/>
      <c r="C53" s="126" t="s">
        <v>283</v>
      </c>
      <c r="D53" s="126"/>
      <c r="E53" s="7" t="s">
        <v>284</v>
      </c>
      <c r="F53" s="8" t="s">
        <v>285</v>
      </c>
      <c r="G53" s="8" t="s">
        <v>285</v>
      </c>
      <c r="H53" s="8" t="s">
        <v>285</v>
      </c>
      <c r="I53" s="10" t="s">
        <v>286</v>
      </c>
      <c r="J53" s="42"/>
      <c r="K53" s="43"/>
      <c r="L53" s="44"/>
    </row>
    <row r="54" spans="2:12" ht="25.05" customHeight="1" x14ac:dyDescent="0.25">
      <c r="B54" s="4"/>
      <c r="C54" s="5"/>
      <c r="D54" s="5"/>
      <c r="E54" s="5"/>
      <c r="F54" s="39">
        <f>IF(OR(B55="afwezig",B55="",E54="GOVAK_medewerker",E54=""),0,IF(OR(E54="voorzitter",E54="notulist"),17))</f>
        <v>0</v>
      </c>
      <c r="G54" s="5"/>
      <c r="H54" s="6"/>
      <c r="I54" s="6"/>
      <c r="J54" s="40">
        <f>IF(OR(B55="afwezig",B55=""),0,0.23*G54+H54+I54)</f>
        <v>0</v>
      </c>
      <c r="K54" s="40">
        <f>IF(OR(E54="GOVAK_medewerker",B55="afwezig",B55=""),0,18)</f>
        <v>0</v>
      </c>
      <c r="L54" s="39">
        <f>F54+J54+K54</f>
        <v>0</v>
      </c>
    </row>
    <row r="55" spans="2:12" ht="25.05" customHeight="1" x14ac:dyDescent="0.3">
      <c r="B55" s="9"/>
      <c r="C55" s="126" t="s">
        <v>283</v>
      </c>
      <c r="D55" s="126"/>
      <c r="E55" s="7" t="s">
        <v>284</v>
      </c>
      <c r="F55" s="8" t="s">
        <v>285</v>
      </c>
      <c r="G55" s="8" t="s">
        <v>285</v>
      </c>
      <c r="H55" s="8" t="s">
        <v>285</v>
      </c>
      <c r="I55" s="10" t="s">
        <v>286</v>
      </c>
      <c r="J55" s="42"/>
      <c r="K55" s="43"/>
      <c r="L55" s="44"/>
    </row>
    <row r="56" spans="2:12" ht="25.05" customHeight="1" x14ac:dyDescent="0.25">
      <c r="B56" s="4"/>
      <c r="C56" s="5"/>
      <c r="D56" s="5"/>
      <c r="E56" s="5"/>
      <c r="F56" s="39">
        <f>IF(OR(B57="afwezig",B57="",E56="GOVAK_medewerker",E56=""),0,IF(OR(E56="voorzitter",E56="notulist"),17))</f>
        <v>0</v>
      </c>
      <c r="G56" s="5"/>
      <c r="H56" s="6"/>
      <c r="I56" s="6"/>
      <c r="J56" s="40">
        <f>IF(OR(B57="afwezig",B57=""),0,0.23*G56+H56+I56)</f>
        <v>0</v>
      </c>
      <c r="K56" s="40">
        <f>IF(OR(E56="GOVAK_medewerker",B57="afwezig",B57=""),0,18)</f>
        <v>0</v>
      </c>
      <c r="L56" s="39">
        <f>F56+J56+K56</f>
        <v>0</v>
      </c>
    </row>
    <row r="57" spans="2:12" ht="25.05" customHeight="1" x14ac:dyDescent="0.3">
      <c r="B57" s="9"/>
      <c r="C57" s="126" t="s">
        <v>283</v>
      </c>
      <c r="D57" s="126"/>
      <c r="E57" s="7" t="s">
        <v>284</v>
      </c>
      <c r="F57" s="8" t="s">
        <v>285</v>
      </c>
      <c r="G57" s="8" t="s">
        <v>285</v>
      </c>
      <c r="H57" s="8" t="s">
        <v>285</v>
      </c>
      <c r="I57" s="10" t="s">
        <v>286</v>
      </c>
      <c r="J57" s="42"/>
      <c r="K57" s="43"/>
      <c r="L57" s="44"/>
    </row>
    <row r="58" spans="2:12" ht="25.05" customHeight="1" x14ac:dyDescent="0.25">
      <c r="B58" s="4"/>
      <c r="C58" s="5"/>
      <c r="D58" s="5"/>
      <c r="E58" s="5"/>
      <c r="F58" s="39">
        <f>IF(OR(B59="afwezig",B59="",E58="GOVAK_medewerker",E58=""),0,IF(OR(E58="voorzitter",E58="notulist"),17))</f>
        <v>0</v>
      </c>
      <c r="G58" s="5"/>
      <c r="H58" s="6"/>
      <c r="I58" s="6"/>
      <c r="J58" s="40">
        <f>IF(OR(B59="afwezig",B59=""),0,0.23*G58+H58+I58)</f>
        <v>0</v>
      </c>
      <c r="K58" s="40">
        <f>IF(OR(E58="GOVAK_medewerker",B59="afwezig",B59=""),0,18)</f>
        <v>0</v>
      </c>
      <c r="L58" s="39">
        <f>F58+J58+K58</f>
        <v>0</v>
      </c>
    </row>
    <row r="59" spans="2:12" ht="25.05" customHeight="1" x14ac:dyDescent="0.3">
      <c r="B59" s="9"/>
      <c r="C59" s="126" t="s">
        <v>283</v>
      </c>
      <c r="D59" s="126"/>
      <c r="E59" s="7" t="s">
        <v>284</v>
      </c>
      <c r="F59" s="8" t="s">
        <v>285</v>
      </c>
      <c r="G59" s="8" t="s">
        <v>285</v>
      </c>
      <c r="H59" s="8" t="s">
        <v>285</v>
      </c>
      <c r="I59" s="10" t="s">
        <v>286</v>
      </c>
      <c r="J59" s="42"/>
      <c r="K59" s="43"/>
      <c r="L59" s="44"/>
    </row>
    <row r="60" spans="2:12" ht="25.05" customHeight="1" x14ac:dyDescent="0.25">
      <c r="B60" s="4"/>
      <c r="C60" s="5"/>
      <c r="D60" s="5"/>
      <c r="E60" s="5"/>
      <c r="F60" s="39">
        <f>IF(OR(B61="afwezig",B61="",E60="GOVAK_medewerker",E60=""),0,IF(OR(E60="voorzitter",E60="notulist"),17))</f>
        <v>0</v>
      </c>
      <c r="G60" s="5"/>
      <c r="H60" s="6"/>
      <c r="I60" s="6"/>
      <c r="J60" s="40">
        <f>IF(OR(B61="afwezig",B61=""),0,0.23*G60+H60+I60)</f>
        <v>0</v>
      </c>
      <c r="K60" s="40">
        <f>IF(OR(E60="GOVAK_medewerker",B61="afwezig",B61=""),0,18)</f>
        <v>0</v>
      </c>
      <c r="L60" s="39">
        <f>F60+J60+K60</f>
        <v>0</v>
      </c>
    </row>
    <row r="61" spans="2:12" ht="25.05" customHeight="1" x14ac:dyDescent="0.3">
      <c r="B61" s="9"/>
      <c r="C61" s="126" t="s">
        <v>283</v>
      </c>
      <c r="D61" s="126"/>
      <c r="E61" s="7" t="s">
        <v>284</v>
      </c>
      <c r="F61" s="8" t="s">
        <v>285</v>
      </c>
      <c r="G61" s="8" t="s">
        <v>285</v>
      </c>
      <c r="H61" s="8" t="s">
        <v>285</v>
      </c>
      <c r="I61" s="10" t="s">
        <v>286</v>
      </c>
      <c r="J61" s="42"/>
      <c r="K61" s="43"/>
      <c r="L61" s="44"/>
    </row>
    <row r="62" spans="2:12" ht="25.05" customHeight="1" x14ac:dyDescent="0.25">
      <c r="B62" s="4"/>
      <c r="C62" s="5"/>
      <c r="D62" s="5"/>
      <c r="E62" s="5"/>
      <c r="F62" s="39">
        <f>IF(OR(B63="afwezig",B63="",E62="GOVAK_medewerker",E62=""),0,IF(OR(E62="voorzitter",E62="notulist"),17))</f>
        <v>0</v>
      </c>
      <c r="G62" s="5"/>
      <c r="H62" s="6"/>
      <c r="I62" s="6"/>
      <c r="J62" s="40">
        <f>IF(OR(B63="afwezig",B63=""),0,0.23*G62+H62+I62)</f>
        <v>0</v>
      </c>
      <c r="K62" s="40">
        <f>IF(OR(E62="GOVAK_medewerker",B63="afwezig",B63=""),0,18)</f>
        <v>0</v>
      </c>
      <c r="L62" s="39">
        <f>F62+J62+K62</f>
        <v>0</v>
      </c>
    </row>
    <row r="63" spans="2:12" ht="25.05" customHeight="1" x14ac:dyDescent="0.3">
      <c r="B63" s="9"/>
      <c r="C63" s="126" t="s">
        <v>283</v>
      </c>
      <c r="D63" s="126"/>
      <c r="E63" s="7" t="s">
        <v>284</v>
      </c>
      <c r="F63" s="8" t="s">
        <v>285</v>
      </c>
      <c r="G63" s="8" t="s">
        <v>285</v>
      </c>
      <c r="H63" s="8" t="s">
        <v>285</v>
      </c>
      <c r="I63" s="10" t="s">
        <v>286</v>
      </c>
      <c r="J63" s="42"/>
      <c r="K63" s="43"/>
      <c r="L63" s="44"/>
    </row>
    <row r="64" spans="2:12" ht="25.05" customHeight="1" x14ac:dyDescent="0.25">
      <c r="B64" s="4"/>
      <c r="C64" s="5"/>
      <c r="D64" s="5"/>
      <c r="E64" s="5"/>
      <c r="F64" s="39">
        <f>IF(OR(B65="afwezig",B65="",E64="GOVAK_medewerker",E64=""),0,IF(OR(E64="voorzitter",E64="notulist"),17))</f>
        <v>0</v>
      </c>
      <c r="G64" s="5"/>
      <c r="H64" s="6"/>
      <c r="I64" s="6"/>
      <c r="J64" s="40">
        <f>IF(OR(B65="afwezig",B65=""),0,0.23*G64+H64+I64)</f>
        <v>0</v>
      </c>
      <c r="K64" s="40">
        <f>IF(OR(E64="GOVAK_medewerker",B65="afwezig",B65=""),0,18)</f>
        <v>0</v>
      </c>
      <c r="L64" s="39">
        <f>F64+J64+K64</f>
        <v>0</v>
      </c>
    </row>
    <row r="65" spans="2:12" ht="25.05" customHeight="1" x14ac:dyDescent="0.3">
      <c r="B65" s="9"/>
      <c r="C65" s="126" t="s">
        <v>283</v>
      </c>
      <c r="D65" s="126"/>
      <c r="E65" s="7" t="s">
        <v>284</v>
      </c>
      <c r="F65" s="8" t="s">
        <v>285</v>
      </c>
      <c r="G65" s="8" t="s">
        <v>285</v>
      </c>
      <c r="H65" s="8" t="s">
        <v>285</v>
      </c>
      <c r="I65" s="10" t="s">
        <v>286</v>
      </c>
      <c r="J65" s="42"/>
      <c r="K65" s="43"/>
      <c r="L65" s="44"/>
    </row>
    <row r="66" spans="2:12" ht="25.05" customHeight="1" x14ac:dyDescent="0.25">
      <c r="B66" s="4"/>
      <c r="C66" s="5"/>
      <c r="D66" s="5"/>
      <c r="E66" s="5"/>
      <c r="F66" s="39">
        <f>IF(OR(B67="afwezig",B67="",E66="GOVAK_medewerker",E66=""),0,IF(OR(E66="voorzitter",E66="notulist"),17))</f>
        <v>0</v>
      </c>
      <c r="G66" s="5"/>
      <c r="H66" s="6"/>
      <c r="I66" s="6"/>
      <c r="J66" s="40">
        <f>IF(OR(B67="afwezig",B67=""),0,0.23*G66+H66+I66)</f>
        <v>0</v>
      </c>
      <c r="K66" s="40">
        <f>IF(OR(E66="GOVAK_medewerker",B67="afwezig",B67=""),0,18)</f>
        <v>0</v>
      </c>
      <c r="L66" s="39">
        <f>F66+J66+K66</f>
        <v>0</v>
      </c>
    </row>
    <row r="67" spans="2:12" ht="25.05" customHeight="1" x14ac:dyDescent="0.3">
      <c r="B67" s="9"/>
      <c r="C67" s="126" t="s">
        <v>283</v>
      </c>
      <c r="D67" s="126"/>
      <c r="E67" s="7" t="s">
        <v>284</v>
      </c>
      <c r="F67" s="8" t="s">
        <v>285</v>
      </c>
      <c r="G67" s="8" t="s">
        <v>285</v>
      </c>
      <c r="H67" s="8" t="s">
        <v>285</v>
      </c>
      <c r="I67" s="10" t="s">
        <v>286</v>
      </c>
      <c r="J67" s="42"/>
      <c r="K67" s="43"/>
      <c r="L67" s="44"/>
    </row>
    <row r="68" spans="2:12" ht="25.05" customHeight="1" x14ac:dyDescent="0.25">
      <c r="B68" s="4"/>
      <c r="C68" s="5"/>
      <c r="D68" s="5"/>
      <c r="E68" s="5"/>
      <c r="F68" s="39">
        <f>IF(OR(B69="afwezig",B69="",E68="GOVAK_medewerker",E68=""),0,IF(OR(E68="voorzitter",E68="notulist"),17))</f>
        <v>0</v>
      </c>
      <c r="G68" s="5"/>
      <c r="H68" s="6"/>
      <c r="I68" s="6"/>
      <c r="J68" s="40">
        <f>IF(OR(B69="afwezig",B69=""),0,0.23*G68+H68+I68)</f>
        <v>0</v>
      </c>
      <c r="K68" s="40">
        <f>IF(OR(E68="GOVAK_medewerker",B69="afwezig",B69=""),0,18)</f>
        <v>0</v>
      </c>
      <c r="L68" s="39">
        <f>F68+J68+K68</f>
        <v>0</v>
      </c>
    </row>
    <row r="69" spans="2:12" ht="25.05" customHeight="1" x14ac:dyDescent="0.3">
      <c r="B69" s="9"/>
      <c r="C69" s="126" t="s">
        <v>283</v>
      </c>
      <c r="D69" s="126"/>
      <c r="E69" s="7" t="s">
        <v>284</v>
      </c>
      <c r="F69" s="8" t="s">
        <v>285</v>
      </c>
      <c r="G69" s="8" t="s">
        <v>285</v>
      </c>
      <c r="H69" s="8" t="s">
        <v>285</v>
      </c>
      <c r="I69" s="10" t="s">
        <v>286</v>
      </c>
      <c r="J69" s="42"/>
      <c r="K69" s="43"/>
      <c r="L69" s="44"/>
    </row>
    <row r="70" spans="2:12" ht="25.05" customHeight="1" x14ac:dyDescent="0.25">
      <c r="B70" s="4"/>
      <c r="C70" s="5"/>
      <c r="D70" s="5"/>
      <c r="E70" s="5"/>
      <c r="F70" s="39">
        <f>IF(OR(B71="afwezig",B71="",E70="GOVAK_medewerker",E70=""),0,IF(OR(E70="voorzitter",E70="notulist"),17))</f>
        <v>0</v>
      </c>
      <c r="G70" s="5"/>
      <c r="H70" s="6"/>
      <c r="I70" s="6"/>
      <c r="J70" s="40">
        <f>IF(OR(B71="afwezig",B71=""),0,0.23*G70+H70+I70)</f>
        <v>0</v>
      </c>
      <c r="K70" s="40">
        <f>IF(OR(E70="GOVAK_medewerker",B71="afwezig",B71=""),0,18)</f>
        <v>0</v>
      </c>
      <c r="L70" s="39">
        <f>F70+J70+K70</f>
        <v>0</v>
      </c>
    </row>
    <row r="71" spans="2:12" ht="25.05" customHeight="1" x14ac:dyDescent="0.3">
      <c r="B71" s="9"/>
      <c r="C71" s="126" t="s">
        <v>283</v>
      </c>
      <c r="D71" s="126"/>
      <c r="E71" s="7" t="s">
        <v>284</v>
      </c>
      <c r="F71" s="8" t="s">
        <v>285</v>
      </c>
      <c r="G71" s="8" t="s">
        <v>285</v>
      </c>
      <c r="H71" s="8" t="s">
        <v>285</v>
      </c>
      <c r="I71" s="10" t="s">
        <v>286</v>
      </c>
      <c r="J71" s="42"/>
      <c r="K71" s="43"/>
      <c r="L71" s="44"/>
    </row>
    <row r="72" spans="2:12" ht="25.05" customHeight="1" x14ac:dyDescent="0.25">
      <c r="B72" s="4"/>
      <c r="C72" s="5"/>
      <c r="D72" s="5"/>
      <c r="E72" s="5"/>
      <c r="F72" s="39">
        <f>IF(OR(B73="afwezig",B73="",E72="GOVAK_medewerker",E72=""),0,IF(OR(E72="voorzitter",E72="notulist"),17))</f>
        <v>0</v>
      </c>
      <c r="G72" s="5"/>
      <c r="H72" s="6"/>
      <c r="I72" s="6"/>
      <c r="J72" s="40">
        <f>IF(OR(B73="afwezig",B73=""),0,0.23*G72+H72+I72)</f>
        <v>0</v>
      </c>
      <c r="K72" s="40">
        <f>IF(OR(E72="GOVAK_medewerker",B73="afwezig",B73=""),0,18)</f>
        <v>0</v>
      </c>
      <c r="L72" s="39">
        <f>F72+J72+K72</f>
        <v>0</v>
      </c>
    </row>
    <row r="73" spans="2:12" ht="25.05" customHeight="1" x14ac:dyDescent="0.3">
      <c r="B73" s="9"/>
      <c r="C73" s="126" t="s">
        <v>283</v>
      </c>
      <c r="D73" s="126"/>
      <c r="E73" s="7" t="s">
        <v>284</v>
      </c>
      <c r="F73" s="8" t="s">
        <v>285</v>
      </c>
      <c r="G73" s="8" t="s">
        <v>285</v>
      </c>
      <c r="H73" s="8" t="s">
        <v>285</v>
      </c>
      <c r="I73" s="10" t="s">
        <v>286</v>
      </c>
      <c r="J73" s="42"/>
      <c r="K73" s="43"/>
      <c r="L73" s="44"/>
    </row>
    <row r="74" spans="2:12" ht="25.05" customHeight="1" x14ac:dyDescent="0.25">
      <c r="B74" s="4"/>
      <c r="C74" s="5"/>
      <c r="D74" s="5"/>
      <c r="E74" s="5"/>
      <c r="F74" s="39">
        <f>IF(OR(B75="afwezig",B75="",E74="GOVAK_medewerker",E74=""),0,IF(OR(E74="voorzitter",E74="notulist"),17))</f>
        <v>0</v>
      </c>
      <c r="G74" s="5"/>
      <c r="H74" s="6"/>
      <c r="I74" s="6"/>
      <c r="J74" s="40">
        <f>IF(OR(B75="afwezig",B75=""),0,0.23*G74+H74+I74)</f>
        <v>0</v>
      </c>
      <c r="K74" s="40">
        <f>IF(OR(E74="GOVAK_medewerker",B75="afwezig",B75=""),0,18)</f>
        <v>0</v>
      </c>
      <c r="L74" s="39">
        <f>F74+J74+K74</f>
        <v>0</v>
      </c>
    </row>
    <row r="75" spans="2:12" ht="25.05" customHeight="1" x14ac:dyDescent="0.3">
      <c r="B75" s="9"/>
      <c r="C75" s="126" t="s">
        <v>283</v>
      </c>
      <c r="D75" s="126"/>
      <c r="E75" s="7" t="s">
        <v>284</v>
      </c>
      <c r="F75" s="8" t="s">
        <v>285</v>
      </c>
      <c r="G75" s="8" t="s">
        <v>285</v>
      </c>
      <c r="H75" s="8" t="s">
        <v>285</v>
      </c>
      <c r="I75" s="10" t="s">
        <v>286</v>
      </c>
      <c r="J75" s="42"/>
      <c r="K75" s="43"/>
      <c r="L75" s="44"/>
    </row>
    <row r="76" spans="2:12" ht="25.05" customHeight="1" x14ac:dyDescent="0.25">
      <c r="B76" s="4"/>
      <c r="C76" s="5"/>
      <c r="D76" s="5"/>
      <c r="E76" s="5"/>
      <c r="F76" s="39">
        <f>IF(OR(B77="afwezig",B77="",E76="GOVAK_medewerker",E76=""),0,IF(OR(E76="voorzitter",E76="notulist"),17))</f>
        <v>0</v>
      </c>
      <c r="G76" s="5"/>
      <c r="H76" s="6"/>
      <c r="I76" s="6"/>
      <c r="J76" s="40">
        <f>IF(OR(B77="afwezig",B77=""),0,0.23*G76+H76+I76)</f>
        <v>0</v>
      </c>
      <c r="K76" s="40">
        <f>IF(OR(E76="GOVAK_medewerker",B77="afwezig",B77=""),0,18)</f>
        <v>0</v>
      </c>
      <c r="L76" s="39">
        <f>F76+J76+K76</f>
        <v>0</v>
      </c>
    </row>
    <row r="77" spans="2:12" ht="25.05" customHeight="1" x14ac:dyDescent="0.3">
      <c r="B77" s="9"/>
      <c r="C77" s="126" t="s">
        <v>283</v>
      </c>
      <c r="D77" s="126"/>
      <c r="E77" s="7" t="s">
        <v>284</v>
      </c>
      <c r="F77" s="8" t="s">
        <v>285</v>
      </c>
      <c r="G77" s="8" t="s">
        <v>285</v>
      </c>
      <c r="H77" s="8" t="s">
        <v>285</v>
      </c>
      <c r="I77" s="10" t="s">
        <v>286</v>
      </c>
      <c r="J77" s="42"/>
      <c r="K77" s="43"/>
      <c r="L77" s="44"/>
    </row>
    <row r="78" spans="2:12" ht="25.05" customHeight="1" x14ac:dyDescent="0.25">
      <c r="B78" s="4"/>
      <c r="C78" s="5"/>
      <c r="D78" s="5"/>
      <c r="E78" s="5"/>
      <c r="F78" s="39">
        <f>IF(OR(B79="afwezig",B79="",E78="GOVAK_medewerker",E78=""),0,IF(OR(E78="voorzitter",E78="notulist"),17))</f>
        <v>0</v>
      </c>
      <c r="G78" s="5"/>
      <c r="H78" s="6"/>
      <c r="I78" s="6"/>
      <c r="J78" s="40">
        <f>IF(OR(B79="afwezig",B79=""),0,0.23*G78+H78+I78)</f>
        <v>0</v>
      </c>
      <c r="K78" s="40">
        <f>IF(OR(E78="GOVAK_medewerker",B79="afwezig",B79=""),0,18)</f>
        <v>0</v>
      </c>
      <c r="L78" s="39">
        <f>F78+J78+K78</f>
        <v>0</v>
      </c>
    </row>
    <row r="79" spans="2:12" ht="25.05" customHeight="1" x14ac:dyDescent="0.3">
      <c r="B79" s="9"/>
      <c r="C79" s="126" t="s">
        <v>283</v>
      </c>
      <c r="D79" s="126"/>
      <c r="E79" s="7" t="s">
        <v>284</v>
      </c>
      <c r="F79" s="8" t="s">
        <v>285</v>
      </c>
      <c r="G79" s="8" t="s">
        <v>285</v>
      </c>
      <c r="H79" s="8" t="s">
        <v>285</v>
      </c>
      <c r="I79" s="10" t="s">
        <v>286</v>
      </c>
      <c r="J79" s="42"/>
      <c r="K79" s="43"/>
      <c r="L79" s="44"/>
    </row>
    <row r="80" spans="2:12" ht="25.05" customHeight="1" x14ac:dyDescent="0.25">
      <c r="B80" s="4"/>
      <c r="C80" s="5"/>
      <c r="D80" s="5"/>
      <c r="E80" s="5"/>
      <c r="F80" s="39">
        <f>IF(OR(B81="afwezig",B81="",E80="GOVAK_medewerker",E80=""),0,IF(OR(E80="voorzitter",E80="notulist"),17))</f>
        <v>0</v>
      </c>
      <c r="G80" s="5"/>
      <c r="H80" s="6"/>
      <c r="I80" s="6"/>
      <c r="J80" s="40">
        <f>IF(OR(B81="afwezig",B81=""),0,0.23*G80+H80+I80)</f>
        <v>0</v>
      </c>
      <c r="K80" s="40">
        <f>IF(OR(E80="GOVAK_medewerker",B81="afwezig",B81=""),0,18)</f>
        <v>0</v>
      </c>
      <c r="L80" s="39">
        <f>F80+J80+K80</f>
        <v>0</v>
      </c>
    </row>
    <row r="81" spans="2:12" ht="25.05" customHeight="1" x14ac:dyDescent="0.3">
      <c r="B81" s="9"/>
      <c r="C81" s="126" t="s">
        <v>283</v>
      </c>
      <c r="D81" s="126"/>
      <c r="E81" s="7" t="s">
        <v>284</v>
      </c>
      <c r="F81" s="8" t="s">
        <v>285</v>
      </c>
      <c r="G81" s="8" t="s">
        <v>285</v>
      </c>
      <c r="H81" s="8" t="s">
        <v>285</v>
      </c>
      <c r="I81" s="10" t="s">
        <v>286</v>
      </c>
      <c r="J81" s="42"/>
      <c r="K81" s="43"/>
      <c r="L81" s="44"/>
    </row>
    <row r="82" spans="2:12" ht="25.05" customHeight="1" x14ac:dyDescent="0.25">
      <c r="B82" s="4"/>
      <c r="C82" s="5"/>
      <c r="D82" s="5"/>
      <c r="E82" s="5"/>
      <c r="F82" s="39">
        <f>IF(OR(B83="afwezig",B83="",E82="GOVAK_medewerker",E82=""),0,IF(OR(E82="voorzitter",E82="notulist"),17))</f>
        <v>0</v>
      </c>
      <c r="G82" s="5"/>
      <c r="H82" s="6"/>
      <c r="I82" s="6"/>
      <c r="J82" s="40">
        <f>IF(OR(B83="afwezig",B83=""),0,0.23*G82+H82+I82)</f>
        <v>0</v>
      </c>
      <c r="K82" s="40">
        <f>IF(OR(E82="GOVAK_medewerker",B83="afwezig",B83=""),0,18)</f>
        <v>0</v>
      </c>
      <c r="L82" s="39">
        <f>F82+J82+K82</f>
        <v>0</v>
      </c>
    </row>
    <row r="83" spans="2:12" ht="25.05" customHeight="1" x14ac:dyDescent="0.3">
      <c r="B83" s="9"/>
      <c r="C83" s="126" t="s">
        <v>283</v>
      </c>
      <c r="D83" s="126"/>
      <c r="E83" s="7" t="s">
        <v>284</v>
      </c>
      <c r="F83" s="8" t="s">
        <v>285</v>
      </c>
      <c r="G83" s="8" t="s">
        <v>285</v>
      </c>
      <c r="H83" s="8" t="s">
        <v>285</v>
      </c>
      <c r="I83" s="10" t="s">
        <v>286</v>
      </c>
      <c r="J83" s="42"/>
      <c r="K83" s="43"/>
      <c r="L83" s="44"/>
    </row>
    <row r="84" spans="2:12" ht="25.05" customHeight="1" x14ac:dyDescent="0.25">
      <c r="B84" s="4"/>
      <c r="C84" s="5"/>
      <c r="D84" s="5"/>
      <c r="E84" s="5"/>
      <c r="F84" s="39">
        <f>IF(OR(B85="afwezig",B85="",E84="GOVAK_medewerker",E84=""),0,IF(OR(E84="voorzitter",E84="notulist"),17))</f>
        <v>0</v>
      </c>
      <c r="G84" s="5"/>
      <c r="H84" s="6"/>
      <c r="I84" s="6"/>
      <c r="J84" s="40">
        <f>IF(OR(B85="afwezig",B85=""),0,0.23*G84+H84+I84)</f>
        <v>0</v>
      </c>
      <c r="K84" s="40">
        <f>IF(OR(E84="GOVAK_medewerker",B85="afwezig",B85=""),0,18)</f>
        <v>0</v>
      </c>
      <c r="L84" s="39">
        <f>F84+J84+K84</f>
        <v>0</v>
      </c>
    </row>
    <row r="85" spans="2:12" ht="25.05" customHeight="1" x14ac:dyDescent="0.3">
      <c r="B85" s="9"/>
      <c r="C85" s="126" t="s">
        <v>283</v>
      </c>
      <c r="D85" s="126"/>
      <c r="E85" s="7" t="s">
        <v>284</v>
      </c>
      <c r="F85" s="8" t="s">
        <v>285</v>
      </c>
      <c r="G85" s="8" t="s">
        <v>285</v>
      </c>
      <c r="H85" s="8" t="s">
        <v>285</v>
      </c>
      <c r="I85" s="10" t="s">
        <v>286</v>
      </c>
      <c r="J85" s="42"/>
      <c r="K85" s="43"/>
      <c r="L85" s="44"/>
    </row>
    <row r="86" spans="2:12" ht="25.05" customHeight="1" x14ac:dyDescent="0.25">
      <c r="B86" s="4"/>
      <c r="C86" s="5"/>
      <c r="D86" s="5"/>
      <c r="E86" s="5"/>
      <c r="F86" s="39">
        <f>IF(OR(B87="afwezig",B87="",E86="GOVAK_medewerker",E86=""),0,IF(OR(E86="voorzitter",E86="notulist"),17))</f>
        <v>0</v>
      </c>
      <c r="G86" s="5"/>
      <c r="H86" s="6"/>
      <c r="I86" s="6"/>
      <c r="J86" s="40">
        <f>IF(OR(B87="afwezig",B87=""),0,0.23*G86+H86+I86)</f>
        <v>0</v>
      </c>
      <c r="K86" s="40">
        <f>IF(OR(E86="GOVAK_medewerker",B87="afwezig",B87=""),0,18)</f>
        <v>0</v>
      </c>
      <c r="L86" s="39">
        <f>F86+J86+K86</f>
        <v>0</v>
      </c>
    </row>
    <row r="87" spans="2:12" ht="25.05" customHeight="1" x14ac:dyDescent="0.3">
      <c r="B87" s="9"/>
      <c r="C87" s="126" t="s">
        <v>283</v>
      </c>
      <c r="D87" s="126"/>
      <c r="E87" s="7" t="s">
        <v>284</v>
      </c>
      <c r="F87" s="8" t="s">
        <v>285</v>
      </c>
      <c r="G87" s="8" t="s">
        <v>285</v>
      </c>
      <c r="H87" s="8" t="s">
        <v>285</v>
      </c>
      <c r="I87" s="10" t="s">
        <v>286</v>
      </c>
      <c r="J87" s="42"/>
      <c r="K87" s="43"/>
      <c r="L87" s="44"/>
    </row>
    <row r="88" spans="2:12" ht="25.05" customHeight="1" x14ac:dyDescent="0.25">
      <c r="B88" s="4"/>
      <c r="C88" s="5"/>
      <c r="D88" s="5"/>
      <c r="E88" s="5"/>
      <c r="F88" s="39">
        <f>IF(OR(B89="afwezig",B89="",E88="GOVAK_medewerker",E88=""),0,IF(OR(E88="voorzitter",E88="notulist"),17))</f>
        <v>0</v>
      </c>
      <c r="G88" s="5"/>
      <c r="H88" s="6"/>
      <c r="I88" s="6"/>
      <c r="J88" s="40">
        <f>IF(OR(B89="afwezig",B89=""),0,0.23*G88+H88+I88)</f>
        <v>0</v>
      </c>
      <c r="K88" s="40">
        <f>IF(OR(E88="GOVAK_medewerker",B89="afwezig",B89=""),0,18)</f>
        <v>0</v>
      </c>
      <c r="L88" s="39">
        <f>F88+J88+K88</f>
        <v>0</v>
      </c>
    </row>
    <row r="89" spans="2:12" ht="25.05" customHeight="1" x14ac:dyDescent="0.3">
      <c r="B89" s="9"/>
      <c r="C89" s="126" t="s">
        <v>283</v>
      </c>
      <c r="D89" s="126"/>
      <c r="E89" s="7" t="s">
        <v>284</v>
      </c>
      <c r="F89" s="8" t="s">
        <v>285</v>
      </c>
      <c r="G89" s="8" t="s">
        <v>285</v>
      </c>
      <c r="H89" s="8" t="s">
        <v>285</v>
      </c>
      <c r="I89" s="10" t="s">
        <v>286</v>
      </c>
      <c r="J89" s="42"/>
      <c r="K89" s="43"/>
      <c r="L89" s="44"/>
    </row>
    <row r="90" spans="2:12" ht="25.05" customHeight="1" x14ac:dyDescent="0.25">
      <c r="B90" s="4"/>
      <c r="C90" s="5"/>
      <c r="D90" s="5"/>
      <c r="E90" s="5"/>
      <c r="F90" s="39">
        <f>IF(OR(B91="afwezig",B91="",E90="GOVAK_medewerker",E90=""),0,IF(OR(E90="voorzitter",E90="notulist"),17))</f>
        <v>0</v>
      </c>
      <c r="G90" s="5"/>
      <c r="H90" s="6"/>
      <c r="I90" s="6"/>
      <c r="J90" s="40">
        <f>IF(OR(B91="afwezig",B91=""),0,0.23*G90+H90+I90)</f>
        <v>0</v>
      </c>
      <c r="K90" s="40">
        <f>IF(OR(E90="GOVAK_medewerker",B91="afwezig",B91=""),0,18)</f>
        <v>0</v>
      </c>
      <c r="L90" s="39">
        <f>F90+J90+K90</f>
        <v>0</v>
      </c>
    </row>
    <row r="91" spans="2:12" ht="25.05" customHeight="1" x14ac:dyDescent="0.3">
      <c r="B91" s="9"/>
      <c r="C91" s="126" t="s">
        <v>283</v>
      </c>
      <c r="D91" s="126"/>
      <c r="E91" s="7" t="s">
        <v>284</v>
      </c>
      <c r="F91" s="8" t="s">
        <v>285</v>
      </c>
      <c r="G91" s="8" t="s">
        <v>285</v>
      </c>
      <c r="H91" s="8" t="s">
        <v>285</v>
      </c>
      <c r="I91" s="10" t="s">
        <v>286</v>
      </c>
      <c r="J91" s="42"/>
      <c r="K91" s="43"/>
      <c r="L91" s="44"/>
    </row>
    <row r="92" spans="2:12" ht="25.05" customHeight="1" x14ac:dyDescent="0.25">
      <c r="B92" s="4"/>
      <c r="C92" s="5"/>
      <c r="D92" s="5"/>
      <c r="E92" s="5"/>
      <c r="F92" s="39">
        <f>IF(OR(B93="afwezig",B93="",E92="GOVAK_medewerker",E92=""),0,IF(OR(E92="voorzitter",E92="notulist"),17))</f>
        <v>0</v>
      </c>
      <c r="G92" s="5"/>
      <c r="H92" s="6"/>
      <c r="I92" s="6"/>
      <c r="J92" s="40">
        <f>IF(OR(B93="afwezig",B93=""),0,0.23*G92+H92+I92)</f>
        <v>0</v>
      </c>
      <c r="K92" s="40">
        <f>IF(OR(E92="GOVAK_medewerker",B93="afwezig",B93=""),0,18)</f>
        <v>0</v>
      </c>
      <c r="L92" s="39">
        <f>F92+J92+K92</f>
        <v>0</v>
      </c>
    </row>
    <row r="93" spans="2:12" ht="25.05" customHeight="1" x14ac:dyDescent="0.3">
      <c r="B93" s="9"/>
      <c r="C93" s="126" t="s">
        <v>283</v>
      </c>
      <c r="D93" s="126"/>
      <c r="E93" s="7" t="s">
        <v>284</v>
      </c>
      <c r="F93" s="8" t="s">
        <v>285</v>
      </c>
      <c r="G93" s="8" t="s">
        <v>285</v>
      </c>
      <c r="H93" s="8" t="s">
        <v>285</v>
      </c>
      <c r="I93" s="10" t="s">
        <v>286</v>
      </c>
      <c r="J93" s="42"/>
      <c r="K93" s="43"/>
      <c r="L93" s="44"/>
    </row>
    <row r="94" spans="2:12" ht="25.05" customHeight="1" x14ac:dyDescent="0.25">
      <c r="B94" s="4"/>
      <c r="C94" s="5"/>
      <c r="D94" s="5"/>
      <c r="E94" s="5"/>
      <c r="F94" s="39">
        <f>IF(OR(B95="afwezig",B95="",E94="GOVAK_medewerker",E94=""),0,IF(OR(E94="voorzitter",E94="notulist"),17))</f>
        <v>0</v>
      </c>
      <c r="G94" s="5"/>
      <c r="H94" s="6"/>
      <c r="I94" s="6"/>
      <c r="J94" s="40">
        <f>IF(OR(B95="afwezig",B95=""),0,0.23*G94+H94+I94)</f>
        <v>0</v>
      </c>
      <c r="K94" s="40">
        <f>IF(OR(E94="GOVAK_medewerker",B95="afwezig",B95=""),0,18)</f>
        <v>0</v>
      </c>
      <c r="L94" s="39">
        <f>F94+J94+K94</f>
        <v>0</v>
      </c>
    </row>
    <row r="95" spans="2:12" ht="25.05" customHeight="1" x14ac:dyDescent="0.3">
      <c r="B95" s="9"/>
      <c r="C95" s="126" t="s">
        <v>283</v>
      </c>
      <c r="D95" s="126"/>
      <c r="E95" s="7" t="s">
        <v>284</v>
      </c>
      <c r="F95" s="8" t="s">
        <v>285</v>
      </c>
      <c r="G95" s="8" t="s">
        <v>285</v>
      </c>
      <c r="H95" s="8" t="s">
        <v>285</v>
      </c>
      <c r="I95" s="10" t="s">
        <v>286</v>
      </c>
      <c r="J95" s="42"/>
      <c r="K95" s="43"/>
      <c r="L95" s="44"/>
    </row>
    <row r="96" spans="2:12" ht="25.05" customHeight="1" x14ac:dyDescent="0.25">
      <c r="B96" s="4"/>
      <c r="C96" s="5"/>
      <c r="D96" s="5"/>
      <c r="E96" s="5"/>
      <c r="F96" s="39">
        <f>IF(OR(B97="afwezig",B97="",E96="GOVAK_medewerker",E96=""),0,IF(OR(E96="voorzitter",E96="notulist"),17))</f>
        <v>0</v>
      </c>
      <c r="G96" s="5"/>
      <c r="H96" s="6"/>
      <c r="I96" s="6"/>
      <c r="J96" s="40">
        <f>IF(OR(B97="afwezig",B97=""),0,0.23*G96+H96+I96)</f>
        <v>0</v>
      </c>
      <c r="K96" s="40">
        <f>IF(OR(E96="GOVAK_medewerker",B97="afwezig",B97=""),0,18)</f>
        <v>0</v>
      </c>
      <c r="L96" s="39">
        <f>F96+J96+K96</f>
        <v>0</v>
      </c>
    </row>
    <row r="97" spans="2:12" ht="25.05" customHeight="1" x14ac:dyDescent="0.3">
      <c r="B97" s="9"/>
      <c r="C97" s="126" t="s">
        <v>283</v>
      </c>
      <c r="D97" s="126"/>
      <c r="E97" s="7" t="s">
        <v>284</v>
      </c>
      <c r="F97" s="8" t="s">
        <v>285</v>
      </c>
      <c r="G97" s="8" t="s">
        <v>285</v>
      </c>
      <c r="H97" s="8" t="s">
        <v>285</v>
      </c>
      <c r="I97" s="10" t="s">
        <v>286</v>
      </c>
      <c r="J97" s="42"/>
      <c r="K97" s="43"/>
      <c r="L97" s="44"/>
    </row>
    <row r="98" spans="2:12" ht="25.05" customHeight="1" x14ac:dyDescent="0.25">
      <c r="B98" s="4"/>
      <c r="C98" s="5"/>
      <c r="D98" s="5"/>
      <c r="E98" s="5"/>
      <c r="F98" s="39">
        <f>IF(OR(B99="afwezig",B99="",E98="GOVAK_medewerker",E98=""),0,IF(OR(E98="voorzitter",E98="notulist"),17))</f>
        <v>0</v>
      </c>
      <c r="G98" s="5"/>
      <c r="H98" s="6"/>
      <c r="I98" s="6"/>
      <c r="J98" s="40">
        <f>IF(OR(B99="afwezig",B99=""),0,0.23*G98+H98+I98)</f>
        <v>0</v>
      </c>
      <c r="K98" s="40">
        <f>IF(OR(E98="GOVAK_medewerker",B99="afwezig",B99=""),0,18)</f>
        <v>0</v>
      </c>
      <c r="L98" s="39">
        <f>F98+J98+K98</f>
        <v>0</v>
      </c>
    </row>
    <row r="99" spans="2:12" ht="25.05" customHeight="1" x14ac:dyDescent="0.3">
      <c r="B99" s="9"/>
      <c r="C99" s="126" t="s">
        <v>283</v>
      </c>
      <c r="D99" s="126"/>
      <c r="E99" s="7" t="s">
        <v>284</v>
      </c>
      <c r="F99" s="8" t="s">
        <v>285</v>
      </c>
      <c r="G99" s="8" t="s">
        <v>285</v>
      </c>
      <c r="H99" s="8" t="s">
        <v>285</v>
      </c>
      <c r="I99" s="10" t="s">
        <v>286</v>
      </c>
      <c r="J99" s="42"/>
      <c r="K99" s="43"/>
      <c r="L99" s="44"/>
    </row>
    <row r="100" spans="2:12" ht="25.05" customHeight="1" x14ac:dyDescent="0.25">
      <c r="B100" s="4"/>
      <c r="C100" s="5"/>
      <c r="D100" s="5"/>
      <c r="E100" s="5"/>
      <c r="F100" s="39">
        <f>IF(OR(B101="afwezig",B101="",E100="GOVAK_medewerker",E100=""),0,IF(OR(E100="voorzitter",E100="notulist"),17))</f>
        <v>0</v>
      </c>
      <c r="G100" s="5"/>
      <c r="H100" s="6"/>
      <c r="I100" s="6"/>
      <c r="J100" s="40">
        <f>IF(OR(B101="afwezig",B101=""),0,0.23*G100+H100+I100)</f>
        <v>0</v>
      </c>
      <c r="K100" s="40">
        <f>IF(OR(E100="GOVAK_medewerker",B101="afwezig",B101=""),0,18)</f>
        <v>0</v>
      </c>
      <c r="L100" s="39">
        <f>F100+J100+K100</f>
        <v>0</v>
      </c>
    </row>
    <row r="101" spans="2:12" ht="25.05" customHeight="1" x14ac:dyDescent="0.3">
      <c r="B101" s="9"/>
      <c r="C101" s="126" t="s">
        <v>283</v>
      </c>
      <c r="D101" s="126"/>
      <c r="E101" s="7" t="s">
        <v>284</v>
      </c>
      <c r="F101" s="8" t="s">
        <v>285</v>
      </c>
      <c r="G101" s="8" t="s">
        <v>285</v>
      </c>
      <c r="H101" s="8" t="s">
        <v>285</v>
      </c>
      <c r="I101" s="10" t="s">
        <v>286</v>
      </c>
      <c r="J101" s="42"/>
      <c r="K101" s="43"/>
      <c r="L101" s="44"/>
    </row>
    <row r="102" spans="2:12" ht="25.05" customHeight="1" x14ac:dyDescent="0.25">
      <c r="B102" s="4"/>
      <c r="C102" s="5"/>
      <c r="D102" s="5"/>
      <c r="E102" s="5"/>
      <c r="F102" s="39">
        <f>IF(OR(B103="afwezig",B103="",E102="GOVAK_medewerker",E102=""),0,IF(OR(E102="voorzitter",E102="notulist"),17))</f>
        <v>0</v>
      </c>
      <c r="G102" s="5"/>
      <c r="H102" s="6"/>
      <c r="I102" s="6"/>
      <c r="J102" s="40">
        <f>IF(OR(B103="afwezig",B103=""),0,0.23*G102+H102+I102)</f>
        <v>0</v>
      </c>
      <c r="K102" s="40">
        <f>IF(OR(E102="GOVAK_medewerker",B103="afwezig",B103=""),0,18)</f>
        <v>0</v>
      </c>
      <c r="L102" s="39">
        <f>F102+J102+K102</f>
        <v>0</v>
      </c>
    </row>
    <row r="103" spans="2:12" ht="25.05" customHeight="1" x14ac:dyDescent="0.3">
      <c r="B103" s="9"/>
      <c r="C103" s="126" t="s">
        <v>283</v>
      </c>
      <c r="D103" s="126"/>
      <c r="E103" s="7" t="s">
        <v>284</v>
      </c>
      <c r="F103" s="8" t="s">
        <v>285</v>
      </c>
      <c r="G103" s="8" t="s">
        <v>285</v>
      </c>
      <c r="H103" s="8" t="s">
        <v>285</v>
      </c>
      <c r="I103" s="10" t="s">
        <v>286</v>
      </c>
      <c r="J103" s="42"/>
      <c r="K103" s="43"/>
      <c r="L103" s="44"/>
    </row>
  </sheetData>
  <sheetProtection algorithmName="SHA-512" hashValue="7gY9CVfhY54J8PifLXWoOM03+sOLOfaL48AWRQHLy2vkMzQA9HTulImzMeU8HpqDYLPbKcssg2VcM51BbbOMzA==" saltValue="gsNlL2wbfcCJV9Qzb4f3rw==" spinCount="100000" sheet="1" selectLockedCells="1"/>
  <mergeCells count="54">
    <mergeCell ref="C101:D101"/>
    <mergeCell ref="C81:D81"/>
    <mergeCell ref="C83:D83"/>
    <mergeCell ref="C85:D85"/>
    <mergeCell ref="C87:D87"/>
    <mergeCell ref="C89:D89"/>
    <mergeCell ref="C91:D91"/>
    <mergeCell ref="C93:D93"/>
    <mergeCell ref="C77:D77"/>
    <mergeCell ref="C79:D79"/>
    <mergeCell ref="C95:D95"/>
    <mergeCell ref="C97:D97"/>
    <mergeCell ref="C99:D99"/>
    <mergeCell ref="C67:D67"/>
    <mergeCell ref="C69:D69"/>
    <mergeCell ref="C71:D71"/>
    <mergeCell ref="C73:D73"/>
    <mergeCell ref="C75:D75"/>
    <mergeCell ref="C57:D57"/>
    <mergeCell ref="C59:D59"/>
    <mergeCell ref="C61:D61"/>
    <mergeCell ref="C63:D63"/>
    <mergeCell ref="C65:D65"/>
    <mergeCell ref="C47:D47"/>
    <mergeCell ref="C49:D49"/>
    <mergeCell ref="C51:D51"/>
    <mergeCell ref="C53:D53"/>
    <mergeCell ref="C55:D55"/>
    <mergeCell ref="C37:D37"/>
    <mergeCell ref="C39:D39"/>
    <mergeCell ref="C41:D41"/>
    <mergeCell ref="C43:D43"/>
    <mergeCell ref="C45:D45"/>
    <mergeCell ref="C17:D17"/>
    <mergeCell ref="C19:D19"/>
    <mergeCell ref="C31:D31"/>
    <mergeCell ref="C33:D33"/>
    <mergeCell ref="C35:D35"/>
    <mergeCell ref="C11:D11"/>
    <mergeCell ref="C103:D103"/>
    <mergeCell ref="M3:R3"/>
    <mergeCell ref="M1:R1"/>
    <mergeCell ref="M2:R2"/>
    <mergeCell ref="C27:D27"/>
    <mergeCell ref="C29:D29"/>
    <mergeCell ref="C21:D21"/>
    <mergeCell ref="C23:D23"/>
    <mergeCell ref="C1:L1"/>
    <mergeCell ref="C25:D25"/>
    <mergeCell ref="C5:D5"/>
    <mergeCell ref="C7:D7"/>
    <mergeCell ref="C9:D9"/>
    <mergeCell ref="C13:D13"/>
    <mergeCell ref="C15:D15"/>
  </mergeCells>
  <dataValidations count="4">
    <dataValidation type="textLength" errorStyle="information" operator="equal" allowBlank="1" showInputMessage="1" showErrorMessage="1" errorTitle="Format" error="Voer in deze cel de laatste 2 tekens van uw bankrekeningnummer in" sqref="I5:J5 I55:J55 I85:J85 I7:J7 I21:J21 I9:J9 I11:J11 I13:J13 I15:J15 I17:J17 I19:J19 I35:J35 I57:J57 I59:J59 I61:J61 I65:J65 I67:J67 I69:J69 I71:J71 I73:J73 I87:J87 I89:J89 I91:J91 I93:J93 I23:J23 I25:J25 I27:J27 I29:J29 I31:J31 I33:J33 I37:J37 I39:J39 I41:J41 I43:J43 I45:J45 I47:J47 I49:J49 I51:J51 I53:J53 I63:J63 I75:J75 I77:J77 I79:J79 I81:J81 I83:J83 I95:J95 I97:J97 I99:J99 I101:J101 I103:J103" xr:uid="{177B70E2-B81F-4DA9-B34C-70AE18058FDC}">
      <formula1>2</formula1>
    </dataValidation>
    <dataValidation type="textLength" operator="equal" allowBlank="1" showInputMessage="1" showErrorMessage="1" sqref="E5:H5 E55:H55 E85:H85 E7:H7 E21:H21 E9:H9 E11:H11 E13:H13 E15:H15 E17:H17 E19:H19 E35:H35 E57:H57 E59:H59 E61:H61 E65:H65 E67:H67 E69:H69 E71:H71 E73:H73 E87:H87 E89:H89 E91:H91 E93:H93 E23:H23 E25:H25 E27:H27 E29:H29 E31:H31 E33:H33 E37:H37 E39:H39 E41:H41 E43:H43 E45:H45 E47:H47 E49:H49 E51:H51 E53:H53 E63:H63 E75:H75 E77:H77 E79:H79 E81:H81 E83:H83 E95:H95 E97:H97 E99:H99 E101:H101 E103:H103" xr:uid="{26C4DD4C-70CC-402B-8A3F-2FB17AB4239A}">
      <formula1>4</formula1>
    </dataValidation>
    <dataValidation type="list" allowBlank="1" showInputMessage="1" showErrorMessage="1" sqref="E4 E92 E72 E70 E68 E66 E64 E62 E60 E58 E42 E56 E52 E50 E48 E46 E44 E40 E38 E36 E82 E34 E32 E30 E28 E26 E24 E80 E78 E76 E22 E20 E18 E16 E14 E12 E10 E8 E6 E54 E74 E90 E88 E86 E84 E102 E100 E98 E96 E94" xr:uid="{C5E021F5-BBA1-489D-915E-7D9339807970}">
      <formula1>$T$1:$T$3</formula1>
    </dataValidation>
    <dataValidation type="list" allowBlank="1" showInputMessage="1" showErrorMessage="1" sqref="B5 B85 B7 B9 B11 B13 B15 B17 B19 B21 B87 B89 B91 B93 B23 B25 B27 B29 B31 B33 B35 B37 B39 B41 B43 B45 B47 B49 B51 B53 B55 B57 B59 B61 B63 B65 B67 B69 B71 B73 B75 B77 B79 B81 B83 B95 B97 B99 B101 B103" xr:uid="{B5351BEE-BDAB-4C08-B662-AB324568DDAB}">
      <formula1>$S$1:$S$3</formula1>
    </dataValidation>
  </dataValidations>
  <pageMargins left="0.78740157480314965" right="0.78740157480314965" top="0.55118110236220474" bottom="0.23622047244094491" header="0.39370078740157483" footer="0.35433070866141736"/>
  <pageSetup paperSize="9" scale="9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1">
    <pageSetUpPr fitToPage="1"/>
  </sheetPr>
  <dimension ref="A2:S256"/>
  <sheetViews>
    <sheetView workbookViewId="0">
      <selection activeCell="H4" sqref="H4:J6"/>
    </sheetView>
  </sheetViews>
  <sheetFormatPr defaultColWidth="8.77734375" defaultRowHeight="13.2" x14ac:dyDescent="0.25"/>
  <cols>
    <col min="1" max="1" width="3.77734375" style="1" customWidth="1"/>
    <col min="2" max="2" width="22.77734375" style="62" customWidth="1"/>
    <col min="3" max="3" width="3.77734375" style="1" customWidth="1"/>
    <col min="4" max="7" width="10.77734375" style="1" customWidth="1"/>
    <col min="8" max="8" width="5.77734375" style="1" customWidth="1"/>
    <col min="9" max="9" width="3.77734375" style="1" customWidth="1"/>
    <col min="10" max="10" width="12.77734375" style="1" customWidth="1"/>
    <col min="11" max="11" width="10.77734375" style="1" customWidth="1"/>
    <col min="12" max="16384" width="8.77734375" style="1"/>
  </cols>
  <sheetData>
    <row r="2" spans="1:15" ht="15.6" x14ac:dyDescent="0.3">
      <c r="B2" s="48" t="s">
        <v>120</v>
      </c>
      <c r="C2" s="49"/>
      <c r="D2" s="50" t="str">
        <f>IF(Gegevens!B11=0,"",Gegevens!B11)</f>
        <v>Bestuurscommissie</v>
      </c>
      <c r="E2" s="50" t="str">
        <f>IF(Gegevens!F11=0,"",Gegevens!F11)</f>
        <v>NVON-Reeks</v>
      </c>
      <c r="F2" s="50" t="str">
        <f>IF(Gegevens!J11=0,"",Gegevens!J11)</f>
        <v/>
      </c>
      <c r="L2" s="51"/>
    </row>
    <row r="3" spans="1:15" ht="15.6" customHeight="1" x14ac:dyDescent="0.3">
      <c r="B3" s="48" t="s">
        <v>270</v>
      </c>
      <c r="C3" s="49"/>
      <c r="D3" s="46" t="str">
        <f>IF(Gegevens!B7=0,"",Gegevens!B7)</f>
        <v>Vergadering boek Pocketdemo's</v>
      </c>
      <c r="E3" s="46"/>
      <c r="F3" s="46"/>
      <c r="L3" s="51"/>
    </row>
    <row r="4" spans="1:15" ht="15.6" customHeight="1" x14ac:dyDescent="0.3">
      <c r="B4" s="48" t="s">
        <v>272</v>
      </c>
      <c r="C4" s="49"/>
      <c r="D4" s="46" t="str">
        <f>IF(Gegevens!H7=0,"",Gegevens!H7)</f>
        <v>Online</v>
      </c>
      <c r="E4" s="46"/>
      <c r="H4" s="142"/>
      <c r="I4" s="143"/>
      <c r="J4" s="144"/>
      <c r="L4" s="51"/>
    </row>
    <row r="5" spans="1:15" ht="15.6" customHeight="1" x14ac:dyDescent="0.3">
      <c r="B5" s="48" t="s">
        <v>305</v>
      </c>
      <c r="C5" s="49"/>
      <c r="D5" s="46" t="str">
        <f>IF(Gegevens!B9=0,"",Gegevens!B9)</f>
        <v/>
      </c>
      <c r="E5" s="46"/>
      <c r="F5" s="139" t="s">
        <v>298</v>
      </c>
      <c r="G5" s="140"/>
      <c r="H5" s="145"/>
      <c r="I5" s="146"/>
      <c r="J5" s="147"/>
      <c r="L5" s="51"/>
    </row>
    <row r="6" spans="1:15" ht="15.6" x14ac:dyDescent="0.3">
      <c r="B6" s="48" t="s">
        <v>295</v>
      </c>
      <c r="C6" s="48"/>
      <c r="D6" s="46" t="str">
        <f>IF(Gegevens!D14=0,"",Gegevens!D14)</f>
        <v>Huib van Drooge</v>
      </c>
      <c r="E6" s="46"/>
      <c r="F6" s="52"/>
      <c r="G6" s="52"/>
      <c r="H6" s="148"/>
      <c r="I6" s="149"/>
      <c r="J6" s="150"/>
      <c r="L6" s="51"/>
    </row>
    <row r="8" spans="1:15" ht="15.6" x14ac:dyDescent="0.3">
      <c r="A8" s="53" t="str">
        <f>IF(OR('Reiskosten en presentie'!B5="afwezig",'Reiskosten en presentie'!B5="",'Reiskosten en presentie'!B4=""),"","1")</f>
        <v/>
      </c>
      <c r="B8" s="48" t="str">
        <f>IF(OR('Reiskosten en presentie'!B5="afwezig",'Reiskosten en presentie'!B5="",'Reiskosten en presentie'!B4=""),"","Naam:")</f>
        <v/>
      </c>
      <c r="D8" s="46" t="str">
        <f>IF(OR('Reiskosten en presentie'!B5="afwezig",'Reiskosten en presentie'!B5="",'Reiskosten en presentie'!B4=""),"",'Reiskosten en presentie'!B4)</f>
        <v/>
      </c>
      <c r="E8" s="46"/>
      <c r="F8" s="46"/>
      <c r="G8" s="46"/>
      <c r="H8" s="46"/>
    </row>
    <row r="9" spans="1:15" ht="18" customHeight="1" x14ac:dyDescent="0.3">
      <c r="B9" s="78" t="str">
        <f>IF(OR('Reiskosten en presentie'!B5="afwezig",'Reiskosten en presentie'!B5="",'Reiskosten en presentie'!B4=""),"","Bankrekeningnummer:")</f>
        <v/>
      </c>
      <c r="C9" s="78"/>
      <c r="D9" s="47" t="str">
        <f>IF(OR('Reiskosten en presentie'!B5="afwezig",'Reiskosten en presentie'!B5="",'Reiskosten en presentie'!B4=""),"",'Reiskosten en presentie'!E5)</f>
        <v/>
      </c>
      <c r="E9" s="47" t="str">
        <f>IF(OR('Reiskosten en presentie'!B5="afwezig",'Reiskosten en presentie'!B5="",'Reiskosten en presentie'!B4=""),"",'Reiskosten en presentie'!F5)</f>
        <v/>
      </c>
      <c r="F9" s="47" t="str">
        <f>IF(OR('Reiskosten en presentie'!B5="afwezig",'Reiskosten en presentie'!B5="",'Reiskosten en presentie'!B4=""),"",'Reiskosten en presentie'!G5)</f>
        <v/>
      </c>
      <c r="G9" s="47" t="str">
        <f>IF(OR('Reiskosten en presentie'!B5="afwezig",'Reiskosten en presentie'!B5="",'Reiskosten en presentie'!B4=""),"",'Reiskosten en presentie'!H5)</f>
        <v/>
      </c>
      <c r="H9" s="47" t="str">
        <f>IF(OR('Reiskosten en presentie'!B5="afwezig",'Reiskosten en presentie'!B5="",'Reiskosten en presentie'!B4=""),"",'Reiskosten en presentie'!I5)</f>
        <v/>
      </c>
      <c r="I9" s="54" t="str">
        <f>IF(OR('Reiskosten en presentie'!B5="afwezig",'Reiskosten en presentie'!B5="",'Reiskosten en presentie'!B4=""),"","□")</f>
        <v/>
      </c>
      <c r="J9" s="1" t="str">
        <f>IF(OR('Reiskosten en presentie'!B5="afwezig",'Reiskosten en presentie'!B5="",'Reiskosten en presentie'!B4=""),"","controle")</f>
        <v/>
      </c>
      <c r="L9" s="46"/>
      <c r="M9" s="55"/>
      <c r="N9" s="55"/>
      <c r="O9" s="55"/>
    </row>
    <row r="10" spans="1:15" ht="15" customHeight="1" x14ac:dyDescent="0.25">
      <c r="B10" s="46" t="str">
        <f>IF(OR('Reiskosten en presentie'!B5="afwezig",'Reiskosten en presentie'!B5="",'Reiskosten en presentie'!B4=""),"","0001 Kantoorbehoeften")</f>
        <v/>
      </c>
      <c r="D10" s="56" t="str">
        <f>IF(OR('Reiskosten en presentie'!B5="afwezig",'Reiskosten en presentie'!B5="",'Reiskosten en presentie'!B4=""),"",'Reiskosten en presentie'!F4+'Reiskosten en presentie'!K4)</f>
        <v/>
      </c>
      <c r="M10" s="55"/>
      <c r="N10" s="55"/>
      <c r="O10" s="55"/>
    </row>
    <row r="11" spans="1:15" ht="15.6" customHeight="1" x14ac:dyDescent="0.25">
      <c r="B11" s="46" t="str">
        <f>IF(OR('Reiskosten en presentie'!B5="afwezig",'Reiskosten en presentie'!B5="",'Reiskosten en presentie'!B4=""),"","0008 Reiskosten")</f>
        <v/>
      </c>
      <c r="D11" s="56" t="str">
        <f>IF(OR('Reiskosten en presentie'!B5="afwezig",'Reiskosten en presentie'!B5="",'Reiskosten en presentie'!B4=""),"",'Reiskosten en presentie'!J4)</f>
        <v/>
      </c>
      <c r="L11" s="46"/>
      <c r="M11" s="55"/>
      <c r="N11" s="55"/>
      <c r="O11" s="55"/>
    </row>
    <row r="12" spans="1:15" x14ac:dyDescent="0.25">
      <c r="M12" s="51"/>
    </row>
    <row r="13" spans="1:15" ht="15.6" x14ac:dyDescent="0.3">
      <c r="A13" s="49" t="str">
        <f>IF(OR('Reiskosten en presentie'!B7="afwezig",'Reiskosten en presentie'!B7="",'Reiskosten en presentie'!B6=""),"","2")</f>
        <v/>
      </c>
      <c r="B13" s="48" t="str">
        <f>IF(OR('Reiskosten en presentie'!B7="afwezig",'Reiskosten en presentie'!B7="",'Reiskosten en presentie'!B6=""),"","Naam:")</f>
        <v/>
      </c>
      <c r="C13" s="50"/>
      <c r="D13" s="50" t="str">
        <f>IF(OR('Reiskosten en presentie'!B7="afwezig",'Reiskosten en presentie'!B7="",'Reiskosten en presentie'!B6=""),"",'Reiskosten en presentie'!B6)</f>
        <v/>
      </c>
      <c r="E13" s="50"/>
      <c r="F13" s="50"/>
      <c r="G13" s="50"/>
      <c r="H13" s="50"/>
      <c r="I13" s="50"/>
      <c r="J13" s="50"/>
    </row>
    <row r="14" spans="1:15" ht="17.399999999999999" x14ac:dyDescent="0.3">
      <c r="A14" s="49"/>
      <c r="B14" s="138" t="str">
        <f>IF(OR('Reiskosten en presentie'!B7="afwezig",'Reiskosten en presentie'!B7="",'Reiskosten en presentie'!B6=""),"","Bankrekeningnummer:")</f>
        <v/>
      </c>
      <c r="C14" s="138"/>
      <c r="D14" s="47" t="str">
        <f>IF(OR('Reiskosten en presentie'!B7="afwezig",'Reiskosten en presentie'!B7="",'Reiskosten en presentie'!B6=""),"",'Reiskosten en presentie'!E7)</f>
        <v/>
      </c>
      <c r="E14" s="47" t="str">
        <f>IF(OR('Reiskosten en presentie'!B7="afwezig",'Reiskosten en presentie'!B7="",'Reiskosten en presentie'!B6=""),"",'Reiskosten en presentie'!F7)</f>
        <v/>
      </c>
      <c r="F14" s="47" t="str">
        <f>IF(OR('Reiskosten en presentie'!B7="afwezig",'Reiskosten en presentie'!B7="",'Reiskosten en presentie'!B6=""),"",'Reiskosten en presentie'!G7)</f>
        <v/>
      </c>
      <c r="G14" s="47" t="str">
        <f>IF(OR('Reiskosten en presentie'!B7="afwezig",'Reiskosten en presentie'!B7="",'Reiskosten en presentie'!B6=""),"",'Reiskosten en presentie'!H7)</f>
        <v/>
      </c>
      <c r="H14" s="47" t="str">
        <f>IF(OR('Reiskosten en presentie'!B7="afwezig",'Reiskosten en presentie'!B7="",'Reiskosten en presentie'!B6=""),"",'Reiskosten en presentie'!I7)</f>
        <v/>
      </c>
      <c r="I14" s="57" t="str">
        <f>IF(OR('Reiskosten en presentie'!B7="afwezig",'Reiskosten en presentie'!B7="",'Reiskosten en presentie'!B6=""),"","□")</f>
        <v/>
      </c>
      <c r="J14" s="1" t="str">
        <f>IF(OR('Reiskosten en presentie'!B7="afwezig",'Reiskosten en presentie'!B7="",'Reiskosten en presentie'!B6=0),"","controle")</f>
        <v/>
      </c>
      <c r="L14" s="50"/>
      <c r="M14" s="50"/>
    </row>
    <row r="15" spans="1:15" ht="15" x14ac:dyDescent="0.25">
      <c r="A15" s="50"/>
      <c r="B15" s="46" t="str">
        <f>IF(OR('Reiskosten en presentie'!B7="afwezig",'Reiskosten en presentie'!B7="",'Reiskosten en presentie'!B6=""),"","0001 Kantoorbehoeften")</f>
        <v/>
      </c>
      <c r="C15" s="50"/>
      <c r="D15" s="58" t="str">
        <f>IF(OR('Reiskosten en presentie'!B7="afwezig",'Reiskosten en presentie'!B7="",'Reiskosten en presentie'!B6=""),"",'Reiskosten en presentie'!F6+'Reiskosten en presentie'!K6)</f>
        <v/>
      </c>
      <c r="E15" s="47"/>
      <c r="F15" s="47"/>
      <c r="G15" s="47"/>
      <c r="H15" s="47"/>
      <c r="I15" s="50"/>
      <c r="J15" s="50"/>
      <c r="L15" s="50"/>
      <c r="M15" s="50"/>
    </row>
    <row r="16" spans="1:15" ht="15" x14ac:dyDescent="0.25">
      <c r="A16" s="50"/>
      <c r="B16" s="46" t="str">
        <f>IF(OR('Reiskosten en presentie'!B7="afwezig",'Reiskosten en presentie'!B7="",'Reiskosten en presentie'!B6=""),"","0008 Reiskosten")</f>
        <v/>
      </c>
      <c r="C16" s="50"/>
      <c r="D16" s="58" t="str">
        <f>IF(OR('Reiskosten en presentie'!B7="afwezig",'Reiskosten en presentie'!B7="",'Reiskosten en presentie'!B6=""),"",'Reiskosten en presentie'!J6)</f>
        <v/>
      </c>
      <c r="E16" s="47"/>
      <c r="F16" s="47"/>
      <c r="G16" s="47"/>
      <c r="H16" s="47"/>
      <c r="I16" s="50"/>
      <c r="J16" s="50"/>
      <c r="L16" s="50"/>
      <c r="M16" s="50"/>
    </row>
    <row r="17" spans="1:19" ht="15" x14ac:dyDescent="0.25">
      <c r="L17" s="59"/>
      <c r="M17" s="50"/>
    </row>
    <row r="18" spans="1:19" ht="15.6" x14ac:dyDescent="0.3">
      <c r="A18" s="49" t="str">
        <f>IF(OR('Reiskosten en presentie'!B9="afwezig",'Reiskosten en presentie'!B9="",'Reiskosten en presentie'!B8=""),"","3")</f>
        <v/>
      </c>
      <c r="B18" s="48" t="str">
        <f>IF(OR('Reiskosten en presentie'!B9="afwezig",'Reiskosten en presentie'!B9="",'Reiskosten en presentie'!B8=""),"","Naam:")</f>
        <v/>
      </c>
      <c r="C18" s="50"/>
      <c r="D18" s="50" t="str">
        <f>IF(OR('Reiskosten en presentie'!B9="afwezig",'Reiskosten en presentie'!B9="",'Reiskosten en presentie'!B8=""),"",'Reiskosten en presentie'!B8)</f>
        <v/>
      </c>
      <c r="E18" s="50"/>
      <c r="F18" s="50"/>
      <c r="G18" s="50"/>
      <c r="H18" s="50"/>
      <c r="I18" s="50"/>
      <c r="J18" s="50"/>
      <c r="L18" s="59"/>
      <c r="M18" s="50"/>
    </row>
    <row r="19" spans="1:19" ht="17.399999999999999" x14ac:dyDescent="0.3">
      <c r="A19" s="49"/>
      <c r="B19" s="138" t="str">
        <f>IF(OR('Reiskosten en presentie'!B9="afwezig",'Reiskosten en presentie'!B9="",'Reiskosten en presentie'!B8=""),"","Bankrekeningnummer:")</f>
        <v/>
      </c>
      <c r="C19" s="138"/>
      <c r="D19" s="47" t="str">
        <f>IF(OR('Reiskosten en presentie'!B9="afwezig",'Reiskosten en presentie'!B9="",'Reiskosten en presentie'!B8=""),"",'Reiskosten en presentie'!E9)</f>
        <v/>
      </c>
      <c r="E19" s="47" t="str">
        <f>IF(OR('Reiskosten en presentie'!B9="afwezig",'Reiskosten en presentie'!B9="",'Reiskosten en presentie'!B8=""),"",'Reiskosten en presentie'!F9)</f>
        <v/>
      </c>
      <c r="F19" s="47" t="str">
        <f>IF(OR('Reiskosten en presentie'!B9="afwezig",'Reiskosten en presentie'!B9="",'Reiskosten en presentie'!B8=0),"",'Reiskosten en presentie'!G9)</f>
        <v/>
      </c>
      <c r="G19" s="47" t="str">
        <f>IF(OR('Reiskosten en presentie'!B9="afwezig",'Reiskosten en presentie'!B9="",'Reiskosten en presentie'!B8=0),"",'Reiskosten en presentie'!H9)</f>
        <v/>
      </c>
      <c r="H19" s="47" t="str">
        <f>IF(OR('Reiskosten en presentie'!B9="afwezig",'Reiskosten en presentie'!B9="",'Reiskosten en presentie'!B8=0),"",'Reiskosten en presentie'!I9)</f>
        <v/>
      </c>
      <c r="I19" s="57" t="str">
        <f>IF(OR('Reiskosten en presentie'!B9="afwezig",'Reiskosten en presentie'!B9="",'Reiskosten en presentie'!B8=0),"","□")</f>
        <v/>
      </c>
      <c r="J19" s="1" t="str">
        <f>IF(OR('Reiskosten en presentie'!B9="afwezig",'Reiskosten en presentie'!B9="",'Reiskosten en presentie'!B8=0),"","controle")</f>
        <v/>
      </c>
      <c r="L19" s="59"/>
      <c r="M19" s="50"/>
    </row>
    <row r="20" spans="1:19" ht="15" x14ac:dyDescent="0.25">
      <c r="A20" s="50"/>
      <c r="B20" s="46" t="str">
        <f>IF(OR('Reiskosten en presentie'!B9="afwezig",'Reiskosten en presentie'!B9="",'Reiskosten en presentie'!B8=""),"","0001 Kantoorbehoeften")</f>
        <v/>
      </c>
      <c r="C20" s="50"/>
      <c r="D20" s="58" t="str">
        <f>IF(OR('Reiskosten en presentie'!B9="afwezig",'Reiskosten en presentie'!B9="",'Reiskosten en presentie'!B8=""),"",'Reiskosten en presentie'!F8+'Reiskosten en presentie'!K8)</f>
        <v/>
      </c>
      <c r="E20" s="47"/>
      <c r="F20" s="47"/>
      <c r="G20" s="47"/>
      <c r="H20" s="47"/>
      <c r="I20" s="50"/>
      <c r="J20" s="50"/>
      <c r="L20" s="59"/>
      <c r="M20" s="50"/>
    </row>
    <row r="21" spans="1:19" ht="15" x14ac:dyDescent="0.25">
      <c r="A21" s="50"/>
      <c r="B21" s="46" t="str">
        <f>IF(OR('Reiskosten en presentie'!B9="afwezig",'Reiskosten en presentie'!B9="",'Reiskosten en presentie'!B8=""),"","0008 Reiskosten")</f>
        <v/>
      </c>
      <c r="C21" s="50"/>
      <c r="D21" s="58" t="str">
        <f>IF(OR('Reiskosten en presentie'!B9="afwezig",'Reiskosten en presentie'!B9="",'Reiskosten en presentie'!B8=""),"",'Reiskosten en presentie'!J8)</f>
        <v/>
      </c>
      <c r="E21" s="47"/>
      <c r="F21" s="47"/>
      <c r="G21" s="47"/>
      <c r="H21" s="47"/>
      <c r="I21" s="50"/>
      <c r="J21" s="50"/>
      <c r="L21" s="59"/>
      <c r="M21" s="50"/>
    </row>
    <row r="22" spans="1:19" ht="15" x14ac:dyDescent="0.25">
      <c r="L22" s="60"/>
      <c r="M22" s="47"/>
    </row>
    <row r="23" spans="1:19" ht="15.6" x14ac:dyDescent="0.3">
      <c r="A23" s="53" t="str">
        <f>IF(OR('Reiskosten en presentie'!B11="afwezig",'Reiskosten en presentie'!B11="",'Reiskosten en presentie'!B10=""),"","4")</f>
        <v/>
      </c>
      <c r="B23" s="48" t="str">
        <f>IF(OR('Reiskosten en presentie'!B11="afwezig",'Reiskosten en presentie'!B11="",'Reiskosten en presentie'!B10=""),"","Naam:")</f>
        <v/>
      </c>
      <c r="D23" s="46" t="str">
        <f>IF(OR('Reiskosten en presentie'!B11="afwezig",'Reiskosten en presentie'!B11="",'Reiskosten en presentie'!B10=""),"",'Reiskosten en presentie'!B10)</f>
        <v/>
      </c>
      <c r="E23" s="46"/>
      <c r="F23" s="46"/>
      <c r="G23" s="46"/>
      <c r="H23" s="46"/>
      <c r="L23" s="59"/>
      <c r="M23" s="50"/>
    </row>
    <row r="24" spans="1:19" ht="17.399999999999999" x14ac:dyDescent="0.3">
      <c r="B24" s="78" t="str">
        <f>IF(OR('Reiskosten en presentie'!B11="afwezig",'Reiskosten en presentie'!B11="",'Reiskosten en presentie'!B10=""),"","Bankrekeningnummer:")</f>
        <v/>
      </c>
      <c r="C24" s="78"/>
      <c r="D24" s="47" t="str">
        <f>IF(OR('Reiskosten en presentie'!B11="afwezig",'Reiskosten en presentie'!B11="",'Reiskosten en presentie'!B10=""),"",'Reiskosten en presentie'!E11)</f>
        <v/>
      </c>
      <c r="E24" s="47" t="str">
        <f>IF(OR('Reiskosten en presentie'!B11="afwezig",'Reiskosten en presentie'!B11="",'Reiskosten en presentie'!B10=""),"",'Reiskosten en presentie'!F11)</f>
        <v/>
      </c>
      <c r="F24" s="47" t="str">
        <f>IF(OR('Reiskosten en presentie'!B11="afwezig",'Reiskosten en presentie'!B11="",'Reiskosten en presentie'!B10=""),"",'Reiskosten en presentie'!G11)</f>
        <v/>
      </c>
      <c r="G24" s="47" t="str">
        <f>IF(OR('Reiskosten en presentie'!B11="afwezig",'Reiskosten en presentie'!B11="",'Reiskosten en presentie'!B10=""),"",'Reiskosten en presentie'!H11)</f>
        <v/>
      </c>
      <c r="H24" s="47" t="str">
        <f>IF(OR('Reiskosten en presentie'!B11="afwezig",'Reiskosten en presentie'!B11="",'Reiskosten en presentie'!B10=""),"",'Reiskosten en presentie'!I11)</f>
        <v/>
      </c>
      <c r="I24" s="54" t="str">
        <f>IF(OR('Reiskosten en presentie'!B11="afwezig",'Reiskosten en presentie'!B11="",'Reiskosten en presentie'!B10=""),"","□")</f>
        <v/>
      </c>
      <c r="J24" s="1" t="str">
        <f>IF(OR('Reiskosten en presentie'!B11="afwezig",'Reiskosten en presentie'!B11="",'Reiskosten en presentie'!B10=""),"","controle")</f>
        <v/>
      </c>
      <c r="L24" s="60"/>
      <c r="M24" s="47"/>
    </row>
    <row r="25" spans="1:19" ht="15" x14ac:dyDescent="0.25">
      <c r="B25" s="46" t="str">
        <f>IF(OR('Reiskosten en presentie'!B11="afwezig",'Reiskosten en presentie'!B11="",'Reiskosten en presentie'!B10=""),"","0001 Kantoorbehoeften")</f>
        <v/>
      </c>
      <c r="D25" s="56" t="str">
        <f>IF(OR('Reiskosten en presentie'!B11="afwezig",'Reiskosten en presentie'!B11="",'Reiskosten en presentie'!B10=""),"",'Reiskosten en presentie'!F10+'Reiskosten en presentie'!K10)</f>
        <v/>
      </c>
      <c r="L25" s="59"/>
      <c r="M25" s="50"/>
    </row>
    <row r="26" spans="1:19" ht="15" x14ac:dyDescent="0.25">
      <c r="B26" s="46" t="str">
        <f>IF(OR('Reiskosten en presentie'!B11="afwezig",'Reiskosten en presentie'!B11="",'Reiskosten en presentie'!B10=""),"","0008 Reiskosten")</f>
        <v/>
      </c>
      <c r="D26" s="56" t="str">
        <f>IF(OR('Reiskosten en presentie'!B11="afwezig",'Reiskosten en presentie'!B11="",'Reiskosten en presentie'!B10=""),"",'Reiskosten en presentie'!J10)</f>
        <v/>
      </c>
      <c r="L26" s="60"/>
      <c r="M26" s="47"/>
    </row>
    <row r="27" spans="1:19" ht="15" x14ac:dyDescent="0.25">
      <c r="L27" s="59"/>
      <c r="M27" s="50"/>
    </row>
    <row r="28" spans="1:19" ht="15.6" x14ac:dyDescent="0.3">
      <c r="A28" s="49" t="str">
        <f>IF(OR('Reiskosten en presentie'!B13="afwezig",'Reiskosten en presentie'!B13="",'Reiskosten en presentie'!B12=""),"","5")</f>
        <v/>
      </c>
      <c r="B28" s="48" t="str">
        <f>IF(OR('Reiskosten en presentie'!B13="afwezig",'Reiskosten en presentie'!B13="",'Reiskosten en presentie'!B12=""),"","Naam:")</f>
        <v/>
      </c>
      <c r="C28" s="50"/>
      <c r="D28" s="50" t="str">
        <f>IF(OR('Reiskosten en presentie'!B13="afwezig",'Reiskosten en presentie'!B13="",'Reiskosten en presentie'!B12=""),"",'Reiskosten en presentie'!B12)</f>
        <v/>
      </c>
      <c r="E28" s="50"/>
      <c r="F28" s="50"/>
      <c r="G28" s="50"/>
      <c r="H28" s="50"/>
      <c r="I28" s="50"/>
      <c r="J28" s="50"/>
      <c r="L28" s="59"/>
      <c r="M28" s="50"/>
    </row>
    <row r="29" spans="1:19" ht="17.399999999999999" x14ac:dyDescent="0.3">
      <c r="A29" s="49"/>
      <c r="B29" s="138" t="str">
        <f>IF(OR('Reiskosten en presentie'!B13="afwezig",'Reiskosten en presentie'!B13="",'Reiskosten en presentie'!B12=""),"","Bankrekeningnummer:")</f>
        <v/>
      </c>
      <c r="C29" s="138"/>
      <c r="D29" s="47" t="str">
        <f>IF(OR('Reiskosten en presentie'!B13="afwezig",'Reiskosten en presentie'!B13="",'Reiskosten en presentie'!B12=""),"",'Reiskosten en presentie'!E13)</f>
        <v/>
      </c>
      <c r="E29" s="47" t="str">
        <f>IF(OR('Reiskosten en presentie'!B13="afwezig",'Reiskosten en presentie'!B13="",'Reiskosten en presentie'!B12=""),"",'Reiskosten en presentie'!F13)</f>
        <v/>
      </c>
      <c r="F29" s="47" t="str">
        <f>IF(OR('Reiskosten en presentie'!B13="afwezig",'Reiskosten en presentie'!B13="",'Reiskosten en presentie'!B12=""),"",'Reiskosten en presentie'!G13)</f>
        <v/>
      </c>
      <c r="G29" s="47" t="str">
        <f>IF(OR('Reiskosten en presentie'!B13="afwezig",'Reiskosten en presentie'!B13="",'Reiskosten en presentie'!B12=""),"",'Reiskosten en presentie'!H13)</f>
        <v/>
      </c>
      <c r="H29" s="47" t="str">
        <f>IF(OR('Reiskosten en presentie'!B13="afwezig",'Reiskosten en presentie'!B13="",'Reiskosten en presentie'!B12=""),"",'Reiskosten en presentie'!I13)</f>
        <v/>
      </c>
      <c r="I29" s="57" t="str">
        <f>IF(OR('Reiskosten en presentie'!B13="afwezig",'Reiskosten en presentie'!B13="",'Reiskosten en presentie'!B12=""),"","□")</f>
        <v/>
      </c>
      <c r="J29" s="1" t="str">
        <f>IF(OR('Reiskosten en presentie'!B13="afwezig",'Reiskosten en presentie'!B13="",'Reiskosten en presentie'!B12=""),"","controle")</f>
        <v/>
      </c>
      <c r="L29" s="59"/>
      <c r="M29" s="50"/>
    </row>
    <row r="30" spans="1:19" ht="15" x14ac:dyDescent="0.25">
      <c r="A30" s="50"/>
      <c r="B30" s="46" t="str">
        <f>IF(OR('Reiskosten en presentie'!B13="afwezig",'Reiskosten en presentie'!B13="",'Reiskosten en presentie'!B12=""),"","0001 Kantoorbehoeften")</f>
        <v/>
      </c>
      <c r="C30" s="50"/>
      <c r="D30" s="58" t="str">
        <f>IF(OR('Reiskosten en presentie'!B13="afwezig",'Reiskosten en presentie'!B13="",'Reiskosten en presentie'!B12=""),"",'Reiskosten en presentie'!F12+'Reiskosten en presentie'!K12)</f>
        <v/>
      </c>
      <c r="E30" s="47"/>
      <c r="F30" s="47"/>
      <c r="G30" s="47"/>
      <c r="H30" s="47"/>
      <c r="I30" s="50"/>
      <c r="J30" s="50"/>
      <c r="L30" s="59"/>
      <c r="M30" s="50"/>
      <c r="N30" s="50"/>
      <c r="O30" s="50"/>
      <c r="P30" s="50"/>
      <c r="Q30" s="50"/>
      <c r="R30" s="59"/>
      <c r="S30" s="50"/>
    </row>
    <row r="31" spans="1:19" ht="15" x14ac:dyDescent="0.25">
      <c r="A31" s="50"/>
      <c r="B31" s="46" t="str">
        <f>IF(OR('Reiskosten en presentie'!B13="afwezig",'Reiskosten en presentie'!B13="",'Reiskosten en presentie'!B12=""),"","0008 Reiskosten")</f>
        <v/>
      </c>
      <c r="C31" s="50"/>
      <c r="D31" s="58" t="str">
        <f>IF(OR('Reiskosten en presentie'!B13="afwezig",'Reiskosten en presentie'!B13="",'Reiskosten en presentie'!B12=""),"",'Reiskosten en presentie'!J12)</f>
        <v/>
      </c>
      <c r="E31" s="47"/>
      <c r="F31" s="47"/>
      <c r="G31" s="47"/>
      <c r="H31" s="47"/>
      <c r="I31" s="50"/>
      <c r="J31" s="50"/>
      <c r="L31" s="59"/>
      <c r="M31" s="50"/>
    </row>
    <row r="32" spans="1:19" ht="15" x14ac:dyDescent="0.25">
      <c r="L32" s="59"/>
      <c r="M32" s="50"/>
    </row>
    <row r="33" spans="1:13" ht="15.6" x14ac:dyDescent="0.3">
      <c r="A33" s="49" t="str">
        <f>IF(OR('Reiskosten en presentie'!B15="afwezig",'Reiskosten en presentie'!B15="",'Reiskosten en presentie'!B14=""),"","6")</f>
        <v/>
      </c>
      <c r="B33" s="48" t="str">
        <f>IF(OR('Reiskosten en presentie'!B15="afwezig",'Reiskosten en presentie'!B15="",'Reiskosten en presentie'!B14=""),"","Naam:")</f>
        <v/>
      </c>
      <c r="C33" s="50"/>
      <c r="D33" s="50" t="str">
        <f>IF(OR('Reiskosten en presentie'!B15="afwezig",'Reiskosten en presentie'!B15="",'Reiskosten en presentie'!B14=""),"",'Reiskosten en presentie'!B14)</f>
        <v/>
      </c>
      <c r="E33" s="50"/>
      <c r="F33" s="50"/>
      <c r="G33" s="50"/>
      <c r="H33" s="50"/>
      <c r="I33" s="50"/>
      <c r="J33" s="50"/>
      <c r="L33" s="59"/>
      <c r="M33" s="50"/>
    </row>
    <row r="34" spans="1:13" ht="17.399999999999999" x14ac:dyDescent="0.3">
      <c r="A34" s="49"/>
      <c r="B34" s="138" t="str">
        <f>IF(OR('Reiskosten en presentie'!B15="afwezig",'Reiskosten en presentie'!B15="",'Reiskosten en presentie'!B14=""),"","Bankrekeningnummer:")</f>
        <v/>
      </c>
      <c r="C34" s="138"/>
      <c r="D34" s="47" t="str">
        <f>IF(OR('Reiskosten en presentie'!B15="afwezig",'Reiskosten en presentie'!B15="",'Reiskosten en presentie'!B14=""),"",'Reiskosten en presentie'!E15)</f>
        <v/>
      </c>
      <c r="E34" s="47" t="str">
        <f>IF(OR('Reiskosten en presentie'!B15="afwezig",'Reiskosten en presentie'!B15="",'Reiskosten en presentie'!B14=""),"",'Reiskosten en presentie'!F15)</f>
        <v/>
      </c>
      <c r="F34" s="47" t="str">
        <f>IF(OR('Reiskosten en presentie'!B15="afwezig",'Reiskosten en presentie'!B15="",'Reiskosten en presentie'!B14=""),"",'Reiskosten en presentie'!G15)</f>
        <v/>
      </c>
      <c r="G34" s="47" t="str">
        <f>IF(OR('Reiskosten en presentie'!B15="afwezig",'Reiskosten en presentie'!B15="",'Reiskosten en presentie'!B14=""),"",'Reiskosten en presentie'!H15)</f>
        <v/>
      </c>
      <c r="H34" s="47" t="str">
        <f>IF(OR('Reiskosten en presentie'!B15="afwezig",'Reiskosten en presentie'!B15="",'Reiskosten en presentie'!B14=""),"",'Reiskosten en presentie'!I15)</f>
        <v/>
      </c>
      <c r="I34" s="57" t="str">
        <f>IF(OR('Reiskosten en presentie'!B15="afwezig",'Reiskosten en presentie'!B15="",'Reiskosten en presentie'!B14=""),"","□")</f>
        <v/>
      </c>
      <c r="J34" s="1" t="str">
        <f>IF(OR('Reiskosten en presentie'!B15="afwezig",'Reiskosten en presentie'!B15="",'Reiskosten en presentie'!B14=""),"","controle")</f>
        <v/>
      </c>
      <c r="L34" s="61"/>
      <c r="M34" s="50"/>
    </row>
    <row r="35" spans="1:13" ht="15" x14ac:dyDescent="0.25">
      <c r="A35" s="50"/>
      <c r="B35" s="46" t="str">
        <f>IF(OR('Reiskosten en presentie'!B15="afwezig",'Reiskosten en presentie'!B15="",'Reiskosten en presentie'!B14=""),"","0001 Kantoorbehoeften")</f>
        <v/>
      </c>
      <c r="C35" s="50"/>
      <c r="D35" s="58" t="str">
        <f>IF(OR('Reiskosten en presentie'!B15="afwezig",'Reiskosten en presentie'!B15="",'Reiskosten en presentie'!B14=""),"",'Reiskosten en presentie'!F14+'Reiskosten en presentie'!K14)</f>
        <v/>
      </c>
      <c r="E35" s="47"/>
      <c r="F35" s="47"/>
      <c r="G35" s="47"/>
      <c r="H35" s="47"/>
      <c r="I35" s="50"/>
      <c r="J35" s="50"/>
    </row>
    <row r="36" spans="1:13" ht="15" x14ac:dyDescent="0.25">
      <c r="A36" s="50"/>
      <c r="B36" s="46" t="str">
        <f>IF(OR('Reiskosten en presentie'!B15="afwezig",'Reiskosten en presentie'!B15="",'Reiskosten en presentie'!B14=""),"","0008 Reiskosten")</f>
        <v/>
      </c>
      <c r="C36" s="50"/>
      <c r="D36" s="58" t="str">
        <f>IF(OR('Reiskosten en presentie'!B15="afwezig",'Reiskosten en presentie'!B15="",'Reiskosten en presentie'!B14=""),"",'Reiskosten en presentie'!J14)</f>
        <v/>
      </c>
      <c r="E36" s="47"/>
      <c r="F36" s="47"/>
      <c r="G36" s="47"/>
      <c r="H36" s="47"/>
      <c r="I36" s="50"/>
      <c r="J36" s="50"/>
    </row>
    <row r="38" spans="1:13" ht="15.6" x14ac:dyDescent="0.3">
      <c r="A38" s="53" t="str">
        <f>IF(OR('Reiskosten en presentie'!B17="afwezig",'Reiskosten en presentie'!B17="",'Reiskosten en presentie'!B16=""),"","7")</f>
        <v/>
      </c>
      <c r="B38" s="48" t="str">
        <f>IF(OR('Reiskosten en presentie'!B17="afwezig",'Reiskosten en presentie'!B17="",'Reiskosten en presentie'!B16=""),"","Naam:")</f>
        <v/>
      </c>
      <c r="D38" s="46" t="str">
        <f>IF(OR('Reiskosten en presentie'!B17="afwezig",'Reiskosten en presentie'!B17="",'Reiskosten en presentie'!B16=""),"",'Reiskosten en presentie'!B16)</f>
        <v/>
      </c>
      <c r="E38" s="46"/>
      <c r="F38" s="46"/>
      <c r="G38" s="46"/>
      <c r="H38" s="46"/>
    </row>
    <row r="39" spans="1:13" ht="17.399999999999999" x14ac:dyDescent="0.3">
      <c r="B39" s="78" t="str">
        <f>IF(OR('Reiskosten en presentie'!B17="afwezig",'Reiskosten en presentie'!B17="",'Reiskosten en presentie'!B16=""),"","Bankrekeningnummer:")</f>
        <v/>
      </c>
      <c r="C39" s="78"/>
      <c r="D39" s="47" t="str">
        <f>IF(OR('Reiskosten en presentie'!B17="afwezig",'Reiskosten en presentie'!B17="",'Reiskosten en presentie'!B16=""),"",'Reiskosten en presentie'!E17)</f>
        <v/>
      </c>
      <c r="E39" s="47" t="str">
        <f>IF(OR('Reiskosten en presentie'!B17="afwezig",'Reiskosten en presentie'!B17="",'Reiskosten en presentie'!B16=""),"",'Reiskosten en presentie'!F17)</f>
        <v/>
      </c>
      <c r="F39" s="47" t="str">
        <f>IF(OR('Reiskosten en presentie'!B17="afwezig",'Reiskosten en presentie'!B17="",'Reiskosten en presentie'!B16=""),"",'Reiskosten en presentie'!G17)</f>
        <v/>
      </c>
      <c r="G39" s="47" t="str">
        <f>IF(OR('Reiskosten en presentie'!B17="afwezig",'Reiskosten en presentie'!B17="",'Reiskosten en presentie'!B16=""),"",'Reiskosten en presentie'!H17)</f>
        <v/>
      </c>
      <c r="H39" s="47" t="str">
        <f>IF(OR('Reiskosten en presentie'!B17="afwezig",'Reiskosten en presentie'!B17="",'Reiskosten en presentie'!B16=""),"",'Reiskosten en presentie'!I17)</f>
        <v/>
      </c>
      <c r="I39" s="54" t="str">
        <f>IF(OR('Reiskosten en presentie'!B17="afwezig",'Reiskosten en presentie'!B17="",'Reiskosten en presentie'!B16=""),"","□")</f>
        <v/>
      </c>
      <c r="J39" s="1" t="str">
        <f>IF(OR('Reiskosten en presentie'!B17="afwezig",'Reiskosten en presentie'!B17="",'Reiskosten en presentie'!B16=""),"","controle")</f>
        <v/>
      </c>
    </row>
    <row r="40" spans="1:13" ht="15" x14ac:dyDescent="0.25">
      <c r="B40" s="46" t="str">
        <f>IF(OR('Reiskosten en presentie'!B17="afwezig",'Reiskosten en presentie'!B17="",'Reiskosten en presentie'!B16=""),"","0001 Kantoorbehoeften")</f>
        <v/>
      </c>
      <c r="D40" s="56" t="str">
        <f>IF(OR('Reiskosten en presentie'!B17="afwezig",'Reiskosten en presentie'!B17="",'Reiskosten en presentie'!B16=""),"",'Reiskosten en presentie'!F16+'Reiskosten en presentie'!K16)</f>
        <v/>
      </c>
    </row>
    <row r="41" spans="1:13" ht="15" x14ac:dyDescent="0.25">
      <c r="B41" s="46" t="str">
        <f>IF(OR('Reiskosten en presentie'!B17="afwezig",'Reiskosten en presentie'!B17="",'Reiskosten en presentie'!B16=""),"","0008 Reiskosten")</f>
        <v/>
      </c>
      <c r="D41" s="56" t="str">
        <f>IF(OR('Reiskosten en presentie'!B17="afwezig",'Reiskosten en presentie'!B17="",'Reiskosten en presentie'!B16=""),"",'Reiskosten en presentie'!J16)</f>
        <v/>
      </c>
    </row>
    <row r="43" spans="1:13" ht="15.6" x14ac:dyDescent="0.3">
      <c r="A43" s="49" t="str">
        <f>IF(OR('Reiskosten en presentie'!B19="afwezig",'Reiskosten en presentie'!B19="",'Reiskosten en presentie'!B18=""),"","8")</f>
        <v/>
      </c>
      <c r="B43" s="48" t="str">
        <f>IF(OR('Reiskosten en presentie'!B19="afwezig",'Reiskosten en presentie'!B19="",'Reiskosten en presentie'!B18=""),"","Naam:")</f>
        <v/>
      </c>
      <c r="C43" s="50"/>
      <c r="D43" s="50" t="str">
        <f>IF(OR('Reiskosten en presentie'!B19="afwezig",'Reiskosten en presentie'!B19="",'Reiskosten en presentie'!B18=""),"",'Reiskosten en presentie'!B18)</f>
        <v/>
      </c>
      <c r="E43" s="50"/>
      <c r="F43" s="50"/>
      <c r="G43" s="50"/>
      <c r="H43" s="50"/>
      <c r="I43" s="50"/>
      <c r="J43" s="50"/>
    </row>
    <row r="44" spans="1:13" ht="17.399999999999999" x14ac:dyDescent="0.3">
      <c r="A44" s="49"/>
      <c r="B44" s="141" t="str">
        <f>IF(OR('Reiskosten en presentie'!B19="afwezig",'Reiskosten en presentie'!B19="",'Reiskosten en presentie'!B18=""),"","Bankrekeningnummer:")</f>
        <v/>
      </c>
      <c r="C44" s="141"/>
      <c r="D44" s="47" t="str">
        <f>IF(OR('Reiskosten en presentie'!B19="afwezig",'Reiskosten en presentie'!B19="",'Reiskosten en presentie'!B18=""),"",'Reiskosten en presentie'!E19)</f>
        <v/>
      </c>
      <c r="E44" s="47" t="str">
        <f>IF(OR('Reiskosten en presentie'!B19="afwezig",'Reiskosten en presentie'!B19="",'Reiskosten en presentie'!B18=""),"",'Reiskosten en presentie'!F19)</f>
        <v/>
      </c>
      <c r="F44" s="47" t="str">
        <f>IF(OR('Reiskosten en presentie'!B19="afwezig",'Reiskosten en presentie'!B19="",'Reiskosten en presentie'!B18=""),"",'Reiskosten en presentie'!G19)</f>
        <v/>
      </c>
      <c r="G44" s="47" t="str">
        <f>IF(OR('Reiskosten en presentie'!B19="afwezig",'Reiskosten en presentie'!B19="",'Reiskosten en presentie'!B18=""),"",'Reiskosten en presentie'!H19)</f>
        <v/>
      </c>
      <c r="H44" s="47" t="str">
        <f>IF(OR('Reiskosten en presentie'!B19="afwezig",'Reiskosten en presentie'!B19="",'Reiskosten en presentie'!B18=""),"",'Reiskosten en presentie'!I19)</f>
        <v/>
      </c>
      <c r="I44" s="57" t="str">
        <f>IF(OR('Reiskosten en presentie'!B19="afwezig",'Reiskosten en presentie'!B19="",'Reiskosten en presentie'!B18=""),"","□")</f>
        <v/>
      </c>
      <c r="J44" s="1" t="str">
        <f>IF(OR('Reiskosten en presentie'!B19="afwezig",'Reiskosten en presentie'!B19="",'Reiskosten en presentie'!B18=""),"","controle")</f>
        <v/>
      </c>
    </row>
    <row r="45" spans="1:13" ht="15" x14ac:dyDescent="0.25">
      <c r="A45" s="50"/>
      <c r="B45" s="46" t="str">
        <f>IF(OR('Reiskosten en presentie'!B19="afwezig",'Reiskosten en presentie'!B19="",'Reiskosten en presentie'!B18=""),"","0001 Kantoorbehoeften")</f>
        <v/>
      </c>
      <c r="C45" s="50"/>
      <c r="D45" s="58" t="str">
        <f>IF(OR('Reiskosten en presentie'!B19="afwezig",'Reiskosten en presentie'!B19="",'Reiskosten en presentie'!B18=""),"",'Reiskosten en presentie'!F18+'Reiskosten en presentie'!K18)</f>
        <v/>
      </c>
      <c r="E45" s="47"/>
      <c r="F45" s="47"/>
      <c r="G45" s="47"/>
      <c r="H45" s="47"/>
      <c r="I45" s="50"/>
      <c r="J45" s="50"/>
    </row>
    <row r="46" spans="1:13" ht="15" x14ac:dyDescent="0.25">
      <c r="A46" s="50"/>
      <c r="B46" s="46" t="str">
        <f>IF(OR('Reiskosten en presentie'!B19="afwezig",'Reiskosten en presentie'!B19="",'Reiskosten en presentie'!B18=""),"","0008 Reiskosten")</f>
        <v/>
      </c>
      <c r="C46" s="50"/>
      <c r="D46" s="58" t="str">
        <f>IF(OR('Reiskosten en presentie'!B19="afwezig",'Reiskosten en presentie'!B19="",'Reiskosten en presentie'!B18=""),"",'Reiskosten en presentie'!J18)</f>
        <v/>
      </c>
      <c r="E46" s="47"/>
      <c r="F46" s="47"/>
      <c r="G46" s="47"/>
      <c r="H46" s="47"/>
      <c r="I46" s="50"/>
      <c r="J46" s="50"/>
    </row>
    <row r="48" spans="1:13" ht="15.6" x14ac:dyDescent="0.3">
      <c r="A48" s="49" t="str">
        <f>IF(OR('Reiskosten en presentie'!B21="afwezig",'Reiskosten en presentie'!B21="",'Reiskosten en presentie'!B20=""),"","9")</f>
        <v/>
      </c>
      <c r="B48" s="48" t="str">
        <f>IF(OR('Reiskosten en presentie'!B21="afwezig",'Reiskosten en presentie'!B21="",'Reiskosten en presentie'!B20=""),"","Naam:")</f>
        <v/>
      </c>
      <c r="C48" s="50"/>
      <c r="D48" s="50" t="str">
        <f>IF(OR('Reiskosten en presentie'!B21="afwezig",'Reiskosten en presentie'!B21="",'Reiskosten en presentie'!B20=""),"",'Reiskosten en presentie'!B20)</f>
        <v/>
      </c>
      <c r="E48" s="50"/>
      <c r="F48" s="50"/>
      <c r="G48" s="50"/>
      <c r="H48" s="50"/>
      <c r="I48" s="50"/>
      <c r="J48" s="50"/>
    </row>
    <row r="49" spans="1:10" ht="17.399999999999999" x14ac:dyDescent="0.3">
      <c r="A49" s="49"/>
      <c r="B49" s="138" t="str">
        <f>IF(OR('Reiskosten en presentie'!B21="afwezig",'Reiskosten en presentie'!B21="",'Reiskosten en presentie'!B20=""),"","Bankrekeningnummer:")</f>
        <v/>
      </c>
      <c r="C49" s="138"/>
      <c r="D49" s="47" t="str">
        <f>IF(OR('Reiskosten en presentie'!B21="afwezig",'Reiskosten en presentie'!B21="",'Reiskosten en presentie'!B20=""),"",'Reiskosten en presentie'!E21)</f>
        <v/>
      </c>
      <c r="E49" s="47" t="str">
        <f>IF(OR('Reiskosten en presentie'!B21="afwezig",'Reiskosten en presentie'!B21="",'Reiskosten en presentie'!B20=""),"",'Reiskosten en presentie'!F21)</f>
        <v/>
      </c>
      <c r="F49" s="47" t="str">
        <f>IF(OR('Reiskosten en presentie'!B21="afwezig",'Reiskosten en presentie'!B21="",'Reiskosten en presentie'!B20=""),"",'Reiskosten en presentie'!G21)</f>
        <v/>
      </c>
      <c r="G49" s="47" t="str">
        <f>IF(OR('Reiskosten en presentie'!B21="afwezig",'Reiskosten en presentie'!B21="",'Reiskosten en presentie'!B20=""),"",'Reiskosten en presentie'!H21)</f>
        <v/>
      </c>
      <c r="H49" s="47" t="str">
        <f>IF(OR('Reiskosten en presentie'!B21="afwezig",'Reiskosten en presentie'!B21="",'Reiskosten en presentie'!B20=""),"",'Reiskosten en presentie'!I21)</f>
        <v/>
      </c>
      <c r="I49" s="57" t="str">
        <f>IF(OR('Reiskosten en presentie'!B21="afwezig",'Reiskosten en presentie'!B21="",'Reiskosten en presentie'!B20=""),"","□")</f>
        <v/>
      </c>
      <c r="J49" s="1" t="str">
        <f>IF(OR('Reiskosten en presentie'!B21="afwezig",'Reiskosten en presentie'!B21="",'Reiskosten en presentie'!B20=""),"","controle")</f>
        <v/>
      </c>
    </row>
    <row r="50" spans="1:10" ht="15" x14ac:dyDescent="0.25">
      <c r="A50" s="50"/>
      <c r="B50" s="46" t="str">
        <f>IF(OR('Reiskosten en presentie'!B21="afwezig",'Reiskosten en presentie'!B21="",'Reiskosten en presentie'!B20=""),"","0001 Kantoorbehoeften")</f>
        <v/>
      </c>
      <c r="C50" s="50"/>
      <c r="D50" s="58" t="str">
        <f>IF(OR('Reiskosten en presentie'!B21="afwezig",'Reiskosten en presentie'!B21="",'Reiskosten en presentie'!B20=""),"",'Reiskosten en presentie'!F20+'Reiskosten en presentie'!K20)</f>
        <v/>
      </c>
      <c r="E50" s="47"/>
      <c r="F50" s="47"/>
      <c r="G50" s="47"/>
      <c r="H50" s="47"/>
      <c r="I50" s="50"/>
      <c r="J50" s="50"/>
    </row>
    <row r="51" spans="1:10" ht="15" x14ac:dyDescent="0.25">
      <c r="A51" s="50"/>
      <c r="B51" s="46" t="str">
        <f>IF(OR('Reiskosten en presentie'!B21="afwezig",'Reiskosten en presentie'!B21="",'Reiskosten en presentie'!B20=""),"","0008 Reiskosten")</f>
        <v/>
      </c>
      <c r="C51" s="50"/>
      <c r="D51" s="58" t="str">
        <f>IF(OR('Reiskosten en presentie'!B21="afwezig",'Reiskosten en presentie'!B21="",'Reiskosten en presentie'!B20=""),"",'Reiskosten en presentie'!J20)</f>
        <v/>
      </c>
      <c r="E51" s="47"/>
      <c r="F51" s="47"/>
      <c r="G51" s="47"/>
      <c r="H51" s="47"/>
      <c r="I51" s="50"/>
      <c r="J51" s="50"/>
    </row>
    <row r="53" spans="1:10" ht="15.6" x14ac:dyDescent="0.3">
      <c r="A53" s="53" t="str">
        <f>IF(OR('Reiskosten en presentie'!B23="afwezig",'Reiskosten en presentie'!B23="",'Reiskosten en presentie'!B22=""),"","10")</f>
        <v/>
      </c>
      <c r="B53" s="48" t="str">
        <f>IF(OR('Reiskosten en presentie'!B23="afwezig",'Reiskosten en presentie'!B23="",'Reiskosten en presentie'!B22=""),"","Naam:")</f>
        <v/>
      </c>
      <c r="D53" s="46" t="str">
        <f>IF(OR('Reiskosten en presentie'!B23="afwezig",'Reiskosten en presentie'!B23="",'Reiskosten en presentie'!B22=""),"",'Reiskosten en presentie'!B22)</f>
        <v/>
      </c>
      <c r="E53" s="46"/>
      <c r="F53" s="46"/>
      <c r="G53" s="46"/>
      <c r="H53" s="46"/>
    </row>
    <row r="54" spans="1:10" ht="17.399999999999999" x14ac:dyDescent="0.3">
      <c r="B54" s="78" t="str">
        <f>IF(OR('Reiskosten en presentie'!B23="afwezig",'Reiskosten en presentie'!B23="",'Reiskosten en presentie'!B22=""),"","Bankrekeningnummer:")</f>
        <v/>
      </c>
      <c r="C54" s="78"/>
      <c r="D54" s="47" t="str">
        <f>IF(OR('Reiskosten en presentie'!B23="afwezig",'Reiskosten en presentie'!B23="",'Reiskosten en presentie'!B22=""),"",'Reiskosten en presentie'!E23)</f>
        <v/>
      </c>
      <c r="E54" s="47" t="str">
        <f>IF(OR('Reiskosten en presentie'!B23="afwezig",'Reiskosten en presentie'!B23="",'Reiskosten en presentie'!B22=""),"",'Reiskosten en presentie'!F23)</f>
        <v/>
      </c>
      <c r="F54" s="47" t="str">
        <f>IF(OR('Reiskosten en presentie'!B23="afwezig",'Reiskosten en presentie'!B23="",'Reiskosten en presentie'!B22=""),"",'Reiskosten en presentie'!G23)</f>
        <v/>
      </c>
      <c r="G54" s="47" t="str">
        <f>IF(OR('Reiskosten en presentie'!B23="afwezig",'Reiskosten en presentie'!B23="",'Reiskosten en presentie'!B22=""),"",'Reiskosten en presentie'!H23)</f>
        <v/>
      </c>
      <c r="H54" s="47" t="str">
        <f>IF(OR('Reiskosten en presentie'!B23="afwezig",'Reiskosten en presentie'!B23="",'Reiskosten en presentie'!B22=""),"",'Reiskosten en presentie'!I23)</f>
        <v/>
      </c>
      <c r="I54" s="54" t="str">
        <f>IF(OR('Reiskosten en presentie'!B23="afwezig",'Reiskosten en presentie'!B23="",'Reiskosten en presentie'!B22=""),"","□")</f>
        <v/>
      </c>
      <c r="J54" s="1" t="str">
        <f>IF(OR('Reiskosten en presentie'!B23="afwezig",'Reiskosten en presentie'!B23="",'Reiskosten en presentie'!B22=""),"","controle")</f>
        <v/>
      </c>
    </row>
    <row r="55" spans="1:10" ht="15" x14ac:dyDescent="0.25">
      <c r="B55" s="46" t="str">
        <f>IF(OR('Reiskosten en presentie'!B23="afwezig",'Reiskosten en presentie'!B23="",'Reiskosten en presentie'!B22=""),"","0001 Kantoorbehoeften")</f>
        <v/>
      </c>
      <c r="D55" s="56" t="str">
        <f>IF(OR('Reiskosten en presentie'!B23="afwezig",'Reiskosten en presentie'!B23="",'Reiskosten en presentie'!B22=""),"",'Reiskosten en presentie'!F22+'Reiskosten en presentie'!K22)</f>
        <v/>
      </c>
    </row>
    <row r="56" spans="1:10" ht="15" x14ac:dyDescent="0.25">
      <c r="B56" s="46" t="str">
        <f>IF(OR('Reiskosten en presentie'!B23="afwezig",'Reiskosten en presentie'!B23="",'Reiskosten en presentie'!B22=""),"","0008 Reiskosten")</f>
        <v/>
      </c>
      <c r="D56" s="56" t="str">
        <f>IF(OR('Reiskosten en presentie'!B23="afwezig",'Reiskosten en presentie'!B23="",'Reiskosten en presentie'!B22=""),"",'Reiskosten en presentie'!J22)</f>
        <v/>
      </c>
    </row>
    <row r="58" spans="1:10" ht="15.6" x14ac:dyDescent="0.3">
      <c r="A58" s="49" t="str">
        <f>IF(OR('Reiskosten en presentie'!B25="afwezig",'Reiskosten en presentie'!B25="",'Reiskosten en presentie'!B24=""),"","11")</f>
        <v/>
      </c>
      <c r="B58" s="48" t="str">
        <f>IF(OR('Reiskosten en presentie'!B25="afwezig",'Reiskosten en presentie'!B25="",'Reiskosten en presentie'!B24=""),"","Naam:")</f>
        <v/>
      </c>
      <c r="C58" s="50"/>
      <c r="D58" s="50" t="str">
        <f>IF(OR('Reiskosten en presentie'!B25="afwezig",'Reiskosten en presentie'!B25="",'Reiskosten en presentie'!B24=""),"",'Reiskosten en presentie'!B24)</f>
        <v/>
      </c>
      <c r="E58" s="50"/>
      <c r="F58" s="50"/>
      <c r="G58" s="50"/>
      <c r="H58" s="50"/>
      <c r="I58" s="50"/>
      <c r="J58" s="50"/>
    </row>
    <row r="59" spans="1:10" ht="17.399999999999999" x14ac:dyDescent="0.3">
      <c r="A59" s="49"/>
      <c r="B59" s="138" t="str">
        <f>IF(OR('Reiskosten en presentie'!B25="afwezig",'Reiskosten en presentie'!B25="",'Reiskosten en presentie'!B24=""),"","Bankrekeningnummer:")</f>
        <v/>
      </c>
      <c r="C59" s="138"/>
      <c r="D59" s="47" t="str">
        <f>IF(OR('Reiskosten en presentie'!B25="afwezig",'Reiskosten en presentie'!B25="",'Reiskosten en presentie'!B24=""),"",'Reiskosten en presentie'!E25)</f>
        <v/>
      </c>
      <c r="E59" s="47" t="str">
        <f>IF(OR('Reiskosten en presentie'!B25="afwezig",'Reiskosten en presentie'!B25="",'Reiskosten en presentie'!B24=""),"",'Reiskosten en presentie'!F25)</f>
        <v/>
      </c>
      <c r="F59" s="47" t="str">
        <f>IF(OR('Reiskosten en presentie'!B25="afwezig",'Reiskosten en presentie'!B25="",'Reiskosten en presentie'!B24=""),"",'Reiskosten en presentie'!G25)</f>
        <v/>
      </c>
      <c r="G59" s="47" t="str">
        <f>IF(OR('Reiskosten en presentie'!B25="afwezig",'Reiskosten en presentie'!B25="",'Reiskosten en presentie'!B24=""),"",'Reiskosten en presentie'!H25)</f>
        <v/>
      </c>
      <c r="H59" s="47" t="str">
        <f>IF(OR('Reiskosten en presentie'!B25="afwezig",'Reiskosten en presentie'!B25="",'Reiskosten en presentie'!B24=""),"",'Reiskosten en presentie'!I25)</f>
        <v/>
      </c>
      <c r="I59" s="57" t="str">
        <f>IF(OR('Reiskosten en presentie'!B25="afwezig",'Reiskosten en presentie'!B25="",'Reiskosten en presentie'!B24=""),"","□")</f>
        <v/>
      </c>
      <c r="J59" s="1" t="str">
        <f>IF(OR('Reiskosten en presentie'!B25="afwezig",'Reiskosten en presentie'!B25="",'Reiskosten en presentie'!B24=""),"","controle")</f>
        <v/>
      </c>
    </row>
    <row r="60" spans="1:10" ht="15" x14ac:dyDescent="0.25">
      <c r="A60" s="50"/>
      <c r="B60" s="46" t="str">
        <f>IF(OR('Reiskosten en presentie'!B25="afwezig",'Reiskosten en presentie'!B25="",'Reiskosten en presentie'!B24=""),"","0001 Kantoorbehoeften")</f>
        <v/>
      </c>
      <c r="C60" s="50"/>
      <c r="D60" s="58" t="str">
        <f>IF(OR('Reiskosten en presentie'!B25="afwezig",'Reiskosten en presentie'!B25="",'Reiskosten en presentie'!B24=""),"",'Reiskosten en presentie'!F24+'Reiskosten en presentie'!K24)</f>
        <v/>
      </c>
      <c r="E60" s="47"/>
      <c r="F60" s="47"/>
      <c r="G60" s="47"/>
      <c r="H60" s="47"/>
      <c r="I60" s="50"/>
      <c r="J60" s="50"/>
    </row>
    <row r="61" spans="1:10" ht="15" x14ac:dyDescent="0.25">
      <c r="A61" s="50"/>
      <c r="B61" s="46" t="str">
        <f>IF(OR('Reiskosten en presentie'!B25="afwezig",'Reiskosten en presentie'!B25="",'Reiskosten en presentie'!B24=""),"","0008 Reiskosten")</f>
        <v/>
      </c>
      <c r="C61" s="50"/>
      <c r="D61" s="58" t="str">
        <f>IF(OR('Reiskosten en presentie'!B25="afwezig",'Reiskosten en presentie'!B25="",'Reiskosten en presentie'!B24=""),"",'Reiskosten en presentie'!J24)</f>
        <v/>
      </c>
      <c r="E61" s="47"/>
      <c r="F61" s="47"/>
      <c r="G61" s="47"/>
      <c r="H61" s="47"/>
      <c r="I61" s="50"/>
      <c r="J61" s="50"/>
    </row>
    <row r="63" spans="1:10" ht="15.6" x14ac:dyDescent="0.3">
      <c r="A63" s="49" t="str">
        <f>IF(OR('Reiskosten en presentie'!B27="afwezig",'Reiskosten en presentie'!B27="",'Reiskosten en presentie'!B26=""),"","12")</f>
        <v/>
      </c>
      <c r="B63" s="48" t="str">
        <f>IF(OR('Reiskosten en presentie'!B27="afwezig",'Reiskosten en presentie'!B27="",'Reiskosten en presentie'!B26=""),"","Naam:")</f>
        <v/>
      </c>
      <c r="C63" s="50"/>
      <c r="D63" s="50" t="str">
        <f>IF(OR('Reiskosten en presentie'!B27="afwezig",'Reiskosten en presentie'!B27="",'Reiskosten en presentie'!B26=""),"",'Reiskosten en presentie'!B26)</f>
        <v/>
      </c>
      <c r="E63" s="50"/>
      <c r="F63" s="50"/>
      <c r="G63" s="50"/>
      <c r="H63" s="50"/>
      <c r="I63" s="50"/>
      <c r="J63" s="50"/>
    </row>
    <row r="64" spans="1:10" ht="17.399999999999999" x14ac:dyDescent="0.3">
      <c r="A64" s="49"/>
      <c r="B64" s="138" t="str">
        <f>IF(OR('Reiskosten en presentie'!B27="afwezig",'Reiskosten en presentie'!B27="",'Reiskosten en presentie'!B26=""),"","Bankrekeningnummer:")</f>
        <v/>
      </c>
      <c r="C64" s="138"/>
      <c r="D64" s="47" t="str">
        <f>IF(OR('Reiskosten en presentie'!B27="afwezig",'Reiskosten en presentie'!B27="",'Reiskosten en presentie'!B26=""),"",'Reiskosten en presentie'!E27)</f>
        <v/>
      </c>
      <c r="E64" s="47" t="str">
        <f>IF(OR('Reiskosten en presentie'!B27="afwezig",'Reiskosten en presentie'!B27="",'Reiskosten en presentie'!B26=""),"",'Reiskosten en presentie'!F27)</f>
        <v/>
      </c>
      <c r="F64" s="47" t="str">
        <f>IF(OR('Reiskosten en presentie'!B27="afwezig",'Reiskosten en presentie'!B27="",'Reiskosten en presentie'!B26=""),"",'Reiskosten en presentie'!G27)</f>
        <v/>
      </c>
      <c r="G64" s="47" t="str">
        <f>IF(OR('Reiskosten en presentie'!B27="afwezig",'Reiskosten en presentie'!B27="",'Reiskosten en presentie'!B26=""),"",'Reiskosten en presentie'!H27)</f>
        <v/>
      </c>
      <c r="H64" s="47" t="str">
        <f>IF(OR('Reiskosten en presentie'!B27="afwezig",'Reiskosten en presentie'!B27="",'Reiskosten en presentie'!B26=""),"",'Reiskosten en presentie'!I27)</f>
        <v/>
      </c>
      <c r="I64" s="57" t="str">
        <f>IF(OR('Reiskosten en presentie'!B27="afwezig",'Reiskosten en presentie'!B27="",'Reiskosten en presentie'!B26=""),"","□")</f>
        <v/>
      </c>
      <c r="J64" s="1" t="str">
        <f>IF(OR('Reiskosten en presentie'!B27="afwezig",'Reiskosten en presentie'!B27="",'Reiskosten en presentie'!B26=""),"","controle")</f>
        <v/>
      </c>
    </row>
    <row r="65" spans="1:10" ht="15" x14ac:dyDescent="0.25">
      <c r="A65" s="50"/>
      <c r="B65" s="46" t="str">
        <f>IF(OR('Reiskosten en presentie'!B27="afwezig",'Reiskosten en presentie'!B27="",'Reiskosten en presentie'!B26=""),"","0001 Kantoorbehoeften")</f>
        <v/>
      </c>
      <c r="C65" s="50"/>
      <c r="D65" s="58" t="str">
        <f>IF(OR('Reiskosten en presentie'!B27="afwezig",'Reiskosten en presentie'!B27="",'Reiskosten en presentie'!B26=""),"",'Reiskosten en presentie'!F26+'Reiskosten en presentie'!K26)</f>
        <v/>
      </c>
      <c r="E65" s="47"/>
      <c r="F65" s="47"/>
      <c r="G65" s="47"/>
      <c r="H65" s="47"/>
      <c r="I65" s="50"/>
      <c r="J65" s="50"/>
    </row>
    <row r="66" spans="1:10" ht="15" x14ac:dyDescent="0.25">
      <c r="A66" s="50"/>
      <c r="B66" s="46" t="str">
        <f>IF(OR('Reiskosten en presentie'!B27="afwezig",'Reiskosten en presentie'!B27="",'Reiskosten en presentie'!B26=""),"","0008 Reiskosten")</f>
        <v/>
      </c>
      <c r="C66" s="50"/>
      <c r="D66" s="58" t="str">
        <f>IF(OR('Reiskosten en presentie'!B27="afwezig",'Reiskosten en presentie'!B27="",'Reiskosten en presentie'!B26=""),"",'Reiskosten en presentie'!J26)</f>
        <v/>
      </c>
      <c r="E66" s="47"/>
      <c r="F66" s="47"/>
      <c r="G66" s="47"/>
      <c r="H66" s="47"/>
      <c r="I66" s="50"/>
      <c r="J66" s="50"/>
    </row>
    <row r="68" spans="1:10" ht="15.6" x14ac:dyDescent="0.3">
      <c r="A68" s="53" t="str">
        <f>IF(OR('Reiskosten en presentie'!B29="afwezig",'Reiskosten en presentie'!B29="",'Reiskosten en presentie'!B28=""),"","13")</f>
        <v/>
      </c>
      <c r="B68" s="48" t="str">
        <f>IF(OR('Reiskosten en presentie'!B29="afwezig",'Reiskosten en presentie'!B29="",'Reiskosten en presentie'!B28=""),"","Naam:")</f>
        <v/>
      </c>
      <c r="D68" s="46" t="str">
        <f>IF(OR('Reiskosten en presentie'!B29="afwezig",'Reiskosten en presentie'!B29="",'Reiskosten en presentie'!B28=""),"",'Reiskosten en presentie'!B28)</f>
        <v/>
      </c>
      <c r="E68" s="46"/>
      <c r="F68" s="46"/>
      <c r="G68" s="46"/>
      <c r="H68" s="46"/>
    </row>
    <row r="69" spans="1:10" ht="17.399999999999999" x14ac:dyDescent="0.3">
      <c r="B69" s="78" t="str">
        <f>IF(OR('Reiskosten en presentie'!B29="afwezig",'Reiskosten en presentie'!B29="",'Reiskosten en presentie'!B28=""),"","Bankrekeningnummer:")</f>
        <v/>
      </c>
      <c r="C69" s="78"/>
      <c r="D69" s="47" t="str">
        <f>IF(OR('Reiskosten en presentie'!B29="afwezig",'Reiskosten en presentie'!B29="",'Reiskosten en presentie'!B28=""),"",'Reiskosten en presentie'!E29)</f>
        <v/>
      </c>
      <c r="E69" s="47" t="str">
        <f>IF(OR('Reiskosten en presentie'!B29="afwezig",'Reiskosten en presentie'!B29="",'Reiskosten en presentie'!B28=""),"",'Reiskosten en presentie'!F29)</f>
        <v/>
      </c>
      <c r="F69" s="47" t="str">
        <f>IF(OR('Reiskosten en presentie'!B29="afwezig",'Reiskosten en presentie'!B29="",'Reiskosten en presentie'!B28=""),"",'Reiskosten en presentie'!G29)</f>
        <v/>
      </c>
      <c r="G69" s="47" t="str">
        <f>IF(OR('Reiskosten en presentie'!B29="afwezig",'Reiskosten en presentie'!B29="",'Reiskosten en presentie'!B28=""),"",'Reiskosten en presentie'!H29)</f>
        <v/>
      </c>
      <c r="H69" s="47" t="str">
        <f>IF(OR('Reiskosten en presentie'!B29="afwezig",'Reiskosten en presentie'!B29="",'Reiskosten en presentie'!B28=""),"",'Reiskosten en presentie'!I29)</f>
        <v/>
      </c>
      <c r="I69" s="54" t="str">
        <f>IF(OR('Reiskosten en presentie'!B29="afwezig",'Reiskosten en presentie'!B29="",'Reiskosten en presentie'!B28=""),"","□")</f>
        <v/>
      </c>
      <c r="J69" s="1" t="str">
        <f>IF(OR('Reiskosten en presentie'!B29="afwezig",'Reiskosten en presentie'!B29="",'Reiskosten en presentie'!B28=""),"","controle")</f>
        <v/>
      </c>
    </row>
    <row r="70" spans="1:10" ht="15" x14ac:dyDescent="0.25">
      <c r="B70" s="46" t="str">
        <f>IF(OR('Reiskosten en presentie'!B29="afwezig",'Reiskosten en presentie'!B29="",'Reiskosten en presentie'!B28=""),"","0001 Kantoorbehoeften")</f>
        <v/>
      </c>
      <c r="D70" s="56" t="str">
        <f>IF(OR('Reiskosten en presentie'!B29="afwezig",'Reiskosten en presentie'!B29="",'Reiskosten en presentie'!B28=""),"",'Reiskosten en presentie'!F28+'Reiskosten en presentie'!K28)</f>
        <v/>
      </c>
    </row>
    <row r="71" spans="1:10" ht="15" x14ac:dyDescent="0.25">
      <c r="B71" s="46" t="str">
        <f>IF(OR('Reiskosten en presentie'!B29="afwezig",'Reiskosten en presentie'!B29="",'Reiskosten en presentie'!B28=""),"","0008 Reiskosten")</f>
        <v/>
      </c>
      <c r="D71" s="56" t="str">
        <f>IF(OR('Reiskosten en presentie'!B29="afwezig",'Reiskosten en presentie'!B29="",'Reiskosten en presentie'!B28=""),"",'Reiskosten en presentie'!J28)</f>
        <v/>
      </c>
    </row>
    <row r="73" spans="1:10" ht="15.6" x14ac:dyDescent="0.3">
      <c r="A73" s="49" t="str">
        <f>IF(OR('Reiskosten en presentie'!B31="afwezig",'Reiskosten en presentie'!B31="",'Reiskosten en presentie'!B30=""),"","14")</f>
        <v/>
      </c>
      <c r="B73" s="48" t="str">
        <f>IF(OR('Reiskosten en presentie'!B31="afwezig",'Reiskosten en presentie'!B31="",'Reiskosten en presentie'!B30=""),"","Naam:")</f>
        <v/>
      </c>
      <c r="C73" s="50"/>
      <c r="D73" s="50" t="str">
        <f>IF(OR('Reiskosten en presentie'!B31="afwezig",'Reiskosten en presentie'!B31="",'Reiskosten en presentie'!B30=""),"",'Reiskosten en presentie'!B30)</f>
        <v/>
      </c>
      <c r="E73" s="50"/>
      <c r="F73" s="50"/>
      <c r="G73" s="50"/>
      <c r="H73" s="50"/>
      <c r="I73" s="50"/>
      <c r="J73" s="50"/>
    </row>
    <row r="74" spans="1:10" ht="17.399999999999999" x14ac:dyDescent="0.3">
      <c r="A74" s="49"/>
      <c r="B74" s="138" t="str">
        <f>IF(OR('Reiskosten en presentie'!B31="afwezig",'Reiskosten en presentie'!B31="",'Reiskosten en presentie'!B30=""),"","Bankrekeningnummer:")</f>
        <v/>
      </c>
      <c r="C74" s="138"/>
      <c r="D74" s="47" t="str">
        <f>IF(OR('Reiskosten en presentie'!B31="afwezig",'Reiskosten en presentie'!B31="",'Reiskosten en presentie'!B30=""),"",'Reiskosten en presentie'!E31)</f>
        <v/>
      </c>
      <c r="E74" s="47" t="str">
        <f>IF(OR('Reiskosten en presentie'!B31="afwezig",'Reiskosten en presentie'!B31="",'Reiskosten en presentie'!B30=""),"",'Reiskosten en presentie'!F31)</f>
        <v/>
      </c>
      <c r="F74" s="47" t="str">
        <f>IF(OR('Reiskosten en presentie'!B31="afwezig",'Reiskosten en presentie'!B31="",'Reiskosten en presentie'!B30=""),"",'Reiskosten en presentie'!G31)</f>
        <v/>
      </c>
      <c r="G74" s="47" t="str">
        <f>IF(OR('Reiskosten en presentie'!B31="afwezig",'Reiskosten en presentie'!B31="",'Reiskosten en presentie'!B30=""),"",'Reiskosten en presentie'!H31)</f>
        <v/>
      </c>
      <c r="H74" s="47" t="str">
        <f>IF(OR('Reiskosten en presentie'!B31="afwezig",'Reiskosten en presentie'!B31="",'Reiskosten en presentie'!B30=""),"",'Reiskosten en presentie'!I31)</f>
        <v/>
      </c>
      <c r="I74" s="57" t="str">
        <f>IF(OR('Reiskosten en presentie'!B31="afwezig",'Reiskosten en presentie'!B31="",'Reiskosten en presentie'!B30=""),"","□")</f>
        <v/>
      </c>
      <c r="J74" s="1" t="str">
        <f>IF(OR('Reiskosten en presentie'!B31="afwezig",'Reiskosten en presentie'!B31="",'Reiskosten en presentie'!B30=""),"","controle")</f>
        <v/>
      </c>
    </row>
    <row r="75" spans="1:10" ht="15" x14ac:dyDescent="0.25">
      <c r="A75" s="50"/>
      <c r="B75" s="46" t="str">
        <f>IF(OR('Reiskosten en presentie'!B31="afwezig",'Reiskosten en presentie'!B31="",'Reiskosten en presentie'!B30=""),"","0001 Kantoorbehoeften")</f>
        <v/>
      </c>
      <c r="C75" s="50"/>
      <c r="D75" s="58" t="str">
        <f>IF(OR('Reiskosten en presentie'!B31="afwezig",'Reiskosten en presentie'!B31="",'Reiskosten en presentie'!B30=""),"",'Reiskosten en presentie'!F30+'Reiskosten en presentie'!K30)</f>
        <v/>
      </c>
      <c r="E75" s="47"/>
      <c r="F75" s="47"/>
      <c r="G75" s="47"/>
      <c r="H75" s="47"/>
      <c r="I75" s="50"/>
      <c r="J75" s="50"/>
    </row>
    <row r="76" spans="1:10" ht="15" x14ac:dyDescent="0.25">
      <c r="A76" s="50"/>
      <c r="B76" s="46" t="str">
        <f>IF(OR('Reiskosten en presentie'!B31="afwezig",'Reiskosten en presentie'!B31="",'Reiskosten en presentie'!B30=""),"","0008 Reiskosten")</f>
        <v/>
      </c>
      <c r="C76" s="50"/>
      <c r="D76" s="58" t="str">
        <f>IF(OR('Reiskosten en presentie'!B31="afwezig",'Reiskosten en presentie'!B31="",'Reiskosten en presentie'!B30=""),"",'Reiskosten en presentie'!J30)</f>
        <v/>
      </c>
      <c r="E76" s="47"/>
      <c r="F76" s="47"/>
      <c r="G76" s="47"/>
      <c r="H76" s="47"/>
      <c r="I76" s="50"/>
      <c r="J76" s="50"/>
    </row>
    <row r="78" spans="1:10" ht="15.6" x14ac:dyDescent="0.3">
      <c r="A78" s="49" t="str">
        <f>IF(OR('Reiskosten en presentie'!B33="afwezig",'Reiskosten en presentie'!B33="",'Reiskosten en presentie'!B32=""),"","15")</f>
        <v/>
      </c>
      <c r="B78" s="48" t="str">
        <f>IF(OR('Reiskosten en presentie'!B33="afwezig",'Reiskosten en presentie'!B33="",'Reiskosten en presentie'!B32=""),"","Naam:")</f>
        <v/>
      </c>
      <c r="C78" s="50"/>
      <c r="D78" s="50" t="str">
        <f>IF(OR('Reiskosten en presentie'!B33="afwezig",'Reiskosten en presentie'!B33="",'Reiskosten en presentie'!B32=""),"",'Reiskosten en presentie'!B32)</f>
        <v/>
      </c>
      <c r="E78" s="50"/>
      <c r="F78" s="50"/>
      <c r="G78" s="50"/>
      <c r="H78" s="50"/>
      <c r="I78" s="50"/>
      <c r="J78" s="50"/>
    </row>
    <row r="79" spans="1:10" ht="17.399999999999999" x14ac:dyDescent="0.3">
      <c r="A79" s="49"/>
      <c r="B79" s="138" t="str">
        <f>IF(OR('Reiskosten en presentie'!B33="afwezig",'Reiskosten en presentie'!B33="",'Reiskosten en presentie'!B32=""),"","Bankrekeningnummer:")</f>
        <v/>
      </c>
      <c r="C79" s="138"/>
      <c r="D79" s="47" t="str">
        <f>IF(OR('Reiskosten en presentie'!B33="afwezig",'Reiskosten en presentie'!B33="",'Reiskosten en presentie'!B32=""),"",'Reiskosten en presentie'!E33)</f>
        <v/>
      </c>
      <c r="E79" s="47" t="str">
        <f>IF(OR('Reiskosten en presentie'!B33="afwezig",'Reiskosten en presentie'!B33="",'Reiskosten en presentie'!B32=""),"",'Reiskosten en presentie'!F33)</f>
        <v/>
      </c>
      <c r="F79" s="47" t="str">
        <f>IF(OR('Reiskosten en presentie'!B33="afwezig",'Reiskosten en presentie'!B33="",'Reiskosten en presentie'!B32=""),"",'Reiskosten en presentie'!G33)</f>
        <v/>
      </c>
      <c r="G79" s="47" t="str">
        <f>IF(OR('Reiskosten en presentie'!B33="afwezig",'Reiskosten en presentie'!B33="",'Reiskosten en presentie'!B32=""),"",'Reiskosten en presentie'!H33)</f>
        <v/>
      </c>
      <c r="H79" s="47" t="str">
        <f>IF(OR('Reiskosten en presentie'!B33="afwezig",'Reiskosten en presentie'!B33="",'Reiskosten en presentie'!B32=""),"",'Reiskosten en presentie'!I33)</f>
        <v/>
      </c>
      <c r="I79" s="57" t="str">
        <f>IF(OR('Reiskosten en presentie'!B33="afwezig",'Reiskosten en presentie'!B33="",'Reiskosten en presentie'!B32=""),"","□")</f>
        <v/>
      </c>
      <c r="J79" s="1" t="str">
        <f>IF(OR('Reiskosten en presentie'!B33="afwezig",'Reiskosten en presentie'!B33="",'Reiskosten en presentie'!B32=""),"","controle")</f>
        <v/>
      </c>
    </row>
    <row r="80" spans="1:10" ht="15" x14ac:dyDescent="0.25">
      <c r="A80" s="50"/>
      <c r="B80" s="46" t="str">
        <f>IF(OR('Reiskosten en presentie'!B33="afwezig",'Reiskosten en presentie'!B33="",'Reiskosten en presentie'!B32=""),"","0001 Kantoorbehoeften")</f>
        <v/>
      </c>
      <c r="C80" s="50"/>
      <c r="D80" s="58" t="str">
        <f>IF(OR('Reiskosten en presentie'!B33="afwezig",'Reiskosten en presentie'!B33="",'Reiskosten en presentie'!B32=""),"",'Reiskosten en presentie'!F32+'Reiskosten en presentie'!K32)</f>
        <v/>
      </c>
      <c r="E80" s="47"/>
      <c r="F80" s="47"/>
      <c r="G80" s="47"/>
      <c r="H80" s="47"/>
      <c r="I80" s="50"/>
      <c r="J80" s="50"/>
    </row>
    <row r="81" spans="1:10" ht="15" x14ac:dyDescent="0.25">
      <c r="A81" s="50"/>
      <c r="B81" s="46" t="str">
        <f>IF(OR('Reiskosten en presentie'!B33="afwezig",'Reiskosten en presentie'!B33="",'Reiskosten en presentie'!B32=""),"","0008 Reiskosten")</f>
        <v/>
      </c>
      <c r="C81" s="50"/>
      <c r="D81" s="58" t="str">
        <f>IF(OR('Reiskosten en presentie'!B33="afwezig",'Reiskosten en presentie'!B33="",'Reiskosten en presentie'!B32=""),"",'Reiskosten en presentie'!J32)</f>
        <v/>
      </c>
      <c r="E81" s="47"/>
      <c r="F81" s="47"/>
      <c r="G81" s="47"/>
      <c r="H81" s="47"/>
      <c r="I81" s="50"/>
      <c r="J81" s="50"/>
    </row>
    <row r="83" spans="1:10" ht="15.6" x14ac:dyDescent="0.3">
      <c r="A83" s="53" t="str">
        <f>IF(OR('Reiskosten en presentie'!B35="afwezig",'Reiskosten en presentie'!B35="",'Reiskosten en presentie'!B34=""),"","16")</f>
        <v/>
      </c>
      <c r="B83" s="48" t="str">
        <f>IF(OR('Reiskosten en presentie'!B35="afwezig",'Reiskosten en presentie'!B35="",'Reiskosten en presentie'!B34=""),"","Naam:")</f>
        <v/>
      </c>
      <c r="D83" s="46" t="str">
        <f>IF(OR('Reiskosten en presentie'!B35="afwezig",'Reiskosten en presentie'!B35="",'Reiskosten en presentie'!B34=""),"",'Reiskosten en presentie'!B34)</f>
        <v/>
      </c>
      <c r="E83" s="46"/>
      <c r="F83" s="46"/>
      <c r="G83" s="46"/>
      <c r="H83" s="46"/>
    </row>
    <row r="84" spans="1:10" ht="17.399999999999999" x14ac:dyDescent="0.3">
      <c r="B84" s="78" t="str">
        <f>IF(OR('Reiskosten en presentie'!B35="afwezig",'Reiskosten en presentie'!B35="",'Reiskosten en presentie'!B34=""),"","Bankrekeningnummer:")</f>
        <v/>
      </c>
      <c r="C84" s="78"/>
      <c r="D84" s="47" t="str">
        <f>IF(OR('Reiskosten en presentie'!B35="afwezig",'Reiskosten en presentie'!B35="",'Reiskosten en presentie'!B34=""),"",'Reiskosten en presentie'!E35)</f>
        <v/>
      </c>
      <c r="E84" s="47" t="str">
        <f>IF(OR('Reiskosten en presentie'!B35="afwezig",'Reiskosten en presentie'!B35="",'Reiskosten en presentie'!B34=""),"",'Reiskosten en presentie'!F35)</f>
        <v/>
      </c>
      <c r="F84" s="47" t="str">
        <f>IF(OR('Reiskosten en presentie'!B35="afwezig",'Reiskosten en presentie'!B35="",'Reiskosten en presentie'!B34=""),"",'Reiskosten en presentie'!G35)</f>
        <v/>
      </c>
      <c r="G84" s="47" t="str">
        <f>IF(OR('Reiskosten en presentie'!B35="afwezig",'Reiskosten en presentie'!B35="",'Reiskosten en presentie'!B34=""),"",'Reiskosten en presentie'!H35)</f>
        <v/>
      </c>
      <c r="H84" s="47" t="str">
        <f>IF(OR('Reiskosten en presentie'!B35="afwezig",'Reiskosten en presentie'!B35="",'Reiskosten en presentie'!B34=""),"",'Reiskosten en presentie'!I35)</f>
        <v/>
      </c>
      <c r="I84" s="54" t="str">
        <f>IF(OR('Reiskosten en presentie'!B35="afwezig",'Reiskosten en presentie'!B35="",'Reiskosten en presentie'!B34=""),"","□")</f>
        <v/>
      </c>
      <c r="J84" s="1" t="str">
        <f>IF(OR('Reiskosten en presentie'!B35="afwezig",'Reiskosten en presentie'!B35="",'Reiskosten en presentie'!B34=""),"","controle")</f>
        <v/>
      </c>
    </row>
    <row r="85" spans="1:10" ht="15" x14ac:dyDescent="0.25">
      <c r="B85" s="46" t="str">
        <f>IF(OR('Reiskosten en presentie'!B35="afwezig",'Reiskosten en presentie'!B35="",'Reiskosten en presentie'!B34=""),"","0001 Kantoorbehoeften")</f>
        <v/>
      </c>
      <c r="D85" s="56" t="str">
        <f>IF(OR('Reiskosten en presentie'!B35="afwezig",'Reiskosten en presentie'!B35="",'Reiskosten en presentie'!B34=""),"",'Reiskosten en presentie'!F34+'Reiskosten en presentie'!K34)</f>
        <v/>
      </c>
    </row>
    <row r="86" spans="1:10" ht="15" x14ac:dyDescent="0.25">
      <c r="B86" s="46" t="str">
        <f>IF(OR('Reiskosten en presentie'!B35="afwezig",'Reiskosten en presentie'!B35="",'Reiskosten en presentie'!B34=""),"","0008 Reiskosten")</f>
        <v/>
      </c>
      <c r="D86" s="56" t="str">
        <f>IF(OR('Reiskosten en presentie'!B35="afwezig",'Reiskosten en presentie'!B35="",'Reiskosten en presentie'!B34=""),"",'Reiskosten en presentie'!J34)</f>
        <v/>
      </c>
    </row>
    <row r="88" spans="1:10" ht="15.6" x14ac:dyDescent="0.3">
      <c r="A88" s="49" t="str">
        <f>IF(OR('Reiskosten en presentie'!B37="afwezig",'Reiskosten en presentie'!B37="",'Reiskosten en presentie'!B36=""),"","17")</f>
        <v/>
      </c>
      <c r="B88" s="48" t="str">
        <f>IF(OR('Reiskosten en presentie'!B37="afwezig",'Reiskosten en presentie'!B37="",'Reiskosten en presentie'!B36=""),"","Naam:")</f>
        <v/>
      </c>
      <c r="C88" s="50"/>
      <c r="D88" s="50" t="str">
        <f>IF(OR('Reiskosten en presentie'!B37="afwezig",'Reiskosten en presentie'!B37="",'Reiskosten en presentie'!B36=""),"",'Reiskosten en presentie'!B36)</f>
        <v/>
      </c>
      <c r="E88" s="50"/>
      <c r="F88" s="50"/>
      <c r="G88" s="50"/>
      <c r="H88" s="50"/>
      <c r="I88" s="50"/>
      <c r="J88" s="50"/>
    </row>
    <row r="89" spans="1:10" ht="17.399999999999999" x14ac:dyDescent="0.3">
      <c r="A89" s="49"/>
      <c r="B89" s="138" t="str">
        <f>IF(OR('Reiskosten en presentie'!B37="afwezig",'Reiskosten en presentie'!B37="",'Reiskosten en presentie'!B36=""),"","Bankrekeningnummer:")</f>
        <v/>
      </c>
      <c r="C89" s="138"/>
      <c r="D89" s="47" t="str">
        <f>IF(OR('Reiskosten en presentie'!B37="afwezig",'Reiskosten en presentie'!B37="",'Reiskosten en presentie'!B36=""),"",'Reiskosten en presentie'!E37)</f>
        <v/>
      </c>
      <c r="E89" s="47" t="str">
        <f>IF(OR('Reiskosten en presentie'!B37="afwezig",'Reiskosten en presentie'!B37="",'Reiskosten en presentie'!B36=""),"",'Reiskosten en presentie'!F37)</f>
        <v/>
      </c>
      <c r="F89" s="47" t="str">
        <f>IF(OR('Reiskosten en presentie'!B37="afwezig",'Reiskosten en presentie'!B37="",'Reiskosten en presentie'!B36=""),"",'Reiskosten en presentie'!G37)</f>
        <v/>
      </c>
      <c r="G89" s="47" t="str">
        <f>IF(OR('Reiskosten en presentie'!B37="afwezig",'Reiskosten en presentie'!B37="",'Reiskosten en presentie'!B36=""),"",'Reiskosten en presentie'!H37)</f>
        <v/>
      </c>
      <c r="H89" s="47" t="str">
        <f>IF(OR('Reiskosten en presentie'!B37="afwezig",'Reiskosten en presentie'!B37="",'Reiskosten en presentie'!B36=""),"",'Reiskosten en presentie'!I37)</f>
        <v/>
      </c>
      <c r="I89" s="57" t="str">
        <f>IF(OR('Reiskosten en presentie'!B37="afwezig",'Reiskosten en presentie'!B37="",'Reiskosten en presentie'!B36=""),"","□")</f>
        <v/>
      </c>
      <c r="J89" s="1" t="str">
        <f>IF(OR('Reiskosten en presentie'!B37="afwezig",'Reiskosten en presentie'!B37="",'Reiskosten en presentie'!B36=""),"","controle")</f>
        <v/>
      </c>
    </row>
    <row r="90" spans="1:10" ht="15" x14ac:dyDescent="0.25">
      <c r="A90" s="50"/>
      <c r="B90" s="46" t="str">
        <f>IF(OR('Reiskosten en presentie'!B37="afwezig",'Reiskosten en presentie'!B37="",'Reiskosten en presentie'!B36=""),"","0001 Kantoorbehoeften")</f>
        <v/>
      </c>
      <c r="C90" s="50"/>
      <c r="D90" s="58" t="str">
        <f>IF(OR('Reiskosten en presentie'!B37="afwezig",'Reiskosten en presentie'!B37="",'Reiskosten en presentie'!B36=""),"",'Reiskosten en presentie'!F36+'Reiskosten en presentie'!K36)</f>
        <v/>
      </c>
      <c r="E90" s="47"/>
      <c r="F90" s="47"/>
      <c r="G90" s="47"/>
      <c r="H90" s="47"/>
      <c r="I90" s="50"/>
      <c r="J90" s="50"/>
    </row>
    <row r="91" spans="1:10" ht="15" x14ac:dyDescent="0.25">
      <c r="A91" s="50"/>
      <c r="B91" s="46" t="str">
        <f>IF(OR('Reiskosten en presentie'!B37="afwezig",'Reiskosten en presentie'!B37="",'Reiskosten en presentie'!B36=""),"","0008 Reiskosten")</f>
        <v/>
      </c>
      <c r="C91" s="50"/>
      <c r="D91" s="58" t="str">
        <f>IF(OR('Reiskosten en presentie'!B37="afwezig",'Reiskosten en presentie'!B37="",'Reiskosten en presentie'!B36=""),"",'Reiskosten en presentie'!J36)</f>
        <v/>
      </c>
      <c r="E91" s="47"/>
      <c r="F91" s="47"/>
      <c r="G91" s="47"/>
      <c r="H91" s="47"/>
      <c r="I91" s="50"/>
      <c r="J91" s="50"/>
    </row>
    <row r="93" spans="1:10" ht="15.6" x14ac:dyDescent="0.3">
      <c r="A93" s="49" t="str">
        <f>IF(OR('Reiskosten en presentie'!B39="afwezig",'Reiskosten en presentie'!B39="",'Reiskosten en presentie'!B38=""),"","18")</f>
        <v/>
      </c>
      <c r="B93" s="48" t="str">
        <f>IF(OR('Reiskosten en presentie'!B39="afwezig",'Reiskosten en presentie'!B39="",'Reiskosten en presentie'!B38=""),"","Naam:")</f>
        <v/>
      </c>
      <c r="C93" s="50"/>
      <c r="D93" s="50" t="str">
        <f>IF(OR('Reiskosten en presentie'!B39="afwezig",'Reiskosten en presentie'!B39="",'Reiskosten en presentie'!B38=""),"",'Reiskosten en presentie'!B38)</f>
        <v/>
      </c>
      <c r="E93" s="50"/>
      <c r="F93" s="50"/>
      <c r="G93" s="50"/>
      <c r="H93" s="50"/>
      <c r="I93" s="50"/>
      <c r="J93" s="50"/>
    </row>
    <row r="94" spans="1:10" ht="17.399999999999999" x14ac:dyDescent="0.3">
      <c r="A94" s="49"/>
      <c r="B94" s="138" t="str">
        <f>IF(OR('Reiskosten en presentie'!B39="afwezig",'Reiskosten en presentie'!B39="",'Reiskosten en presentie'!B38=""),"","Bankrekeningnummer:")</f>
        <v/>
      </c>
      <c r="C94" s="138"/>
      <c r="D94" s="47" t="str">
        <f>IF(OR('Reiskosten en presentie'!B39="afwezig",'Reiskosten en presentie'!B39="",'Reiskosten en presentie'!B38=""),"",'Reiskosten en presentie'!E39)</f>
        <v/>
      </c>
      <c r="E94" s="47" t="str">
        <f>IF(OR('Reiskosten en presentie'!B39="afwezig",'Reiskosten en presentie'!B39="",'Reiskosten en presentie'!B38=""),"",'Reiskosten en presentie'!F39)</f>
        <v/>
      </c>
      <c r="F94" s="47" t="str">
        <f>IF(OR('Reiskosten en presentie'!B39="afwezig",'Reiskosten en presentie'!B39="",'Reiskosten en presentie'!B38=""),"",'Reiskosten en presentie'!G39)</f>
        <v/>
      </c>
      <c r="G94" s="47" t="str">
        <f>IF(OR('Reiskosten en presentie'!B39="afwezig",'Reiskosten en presentie'!B39="",'Reiskosten en presentie'!B38=""),"",'Reiskosten en presentie'!H39)</f>
        <v/>
      </c>
      <c r="H94" s="47" t="str">
        <f>IF(OR('Reiskosten en presentie'!B39="afwezig",'Reiskosten en presentie'!B39="",'Reiskosten en presentie'!B38=""),"",'Reiskosten en presentie'!I39)</f>
        <v/>
      </c>
      <c r="I94" s="57" t="str">
        <f>IF(OR('Reiskosten en presentie'!B39="afwezig",'Reiskosten en presentie'!B39="",'Reiskosten en presentie'!B38=""),"","□")</f>
        <v/>
      </c>
      <c r="J94" s="1" t="str">
        <f>IF(OR('Reiskosten en presentie'!B39="afwezig",'Reiskosten en presentie'!B39="",'Reiskosten en presentie'!B38=""),"","controle")</f>
        <v/>
      </c>
    </row>
    <row r="95" spans="1:10" ht="15" x14ac:dyDescent="0.25">
      <c r="A95" s="50"/>
      <c r="B95" s="46" t="str">
        <f>IF(OR('Reiskosten en presentie'!B39="afwezig",'Reiskosten en presentie'!B39="",'Reiskosten en presentie'!B38=""),"","0001 Kantoorbehoeften")</f>
        <v/>
      </c>
      <c r="C95" s="50"/>
      <c r="D95" s="58" t="str">
        <f>IF(OR('Reiskosten en presentie'!B39="afwezig",'Reiskosten en presentie'!B39="",'Reiskosten en presentie'!B38=""),"",'Reiskosten en presentie'!F38+'Reiskosten en presentie'!K38)</f>
        <v/>
      </c>
      <c r="E95" s="47"/>
      <c r="F95" s="47"/>
      <c r="G95" s="47"/>
      <c r="H95" s="47"/>
      <c r="I95" s="50"/>
      <c r="J95" s="50"/>
    </row>
    <row r="96" spans="1:10" ht="15" x14ac:dyDescent="0.25">
      <c r="A96" s="50"/>
      <c r="B96" s="46" t="str">
        <f>IF(OR('Reiskosten en presentie'!B39="afwezig",'Reiskosten en presentie'!B39="",'Reiskosten en presentie'!B38=""),"","0008 Reiskosten")</f>
        <v/>
      </c>
      <c r="C96" s="50"/>
      <c r="D96" s="58" t="str">
        <f>IF(OR('Reiskosten en presentie'!B39="afwezig",'Reiskosten en presentie'!B39="",'Reiskosten en presentie'!B38=""),"",'Reiskosten en presentie'!J38)</f>
        <v/>
      </c>
      <c r="E96" s="47"/>
      <c r="F96" s="47"/>
      <c r="G96" s="47"/>
      <c r="H96" s="47"/>
      <c r="I96" s="50"/>
      <c r="J96" s="50"/>
    </row>
    <row r="98" spans="1:10" ht="15.6" x14ac:dyDescent="0.3">
      <c r="A98" s="53" t="str">
        <f>IF(OR('Reiskosten en presentie'!B41="afwezig",'Reiskosten en presentie'!B41="",'Reiskosten en presentie'!B40=""),"","19")</f>
        <v/>
      </c>
      <c r="B98" s="48" t="str">
        <f>IF(OR('Reiskosten en presentie'!B41="afwezig",'Reiskosten en presentie'!B41="",'Reiskosten en presentie'!B40=""),"","Naam:")</f>
        <v/>
      </c>
      <c r="D98" s="46" t="str">
        <f>IF(OR('Reiskosten en presentie'!B41="afwezig",'Reiskosten en presentie'!B41="",'Reiskosten en presentie'!B40=""),"",'Reiskosten en presentie'!B40)</f>
        <v/>
      </c>
      <c r="E98" s="46"/>
      <c r="F98" s="46"/>
      <c r="G98" s="46"/>
      <c r="H98" s="46"/>
    </row>
    <row r="99" spans="1:10" ht="17.399999999999999" x14ac:dyDescent="0.3">
      <c r="B99" s="78" t="str">
        <f>IF(OR('Reiskosten en presentie'!B41="afwezig",'Reiskosten en presentie'!B41="",'Reiskosten en presentie'!B40=""),"","Bankrekeningnummer:")</f>
        <v/>
      </c>
      <c r="C99" s="78"/>
      <c r="D99" s="47" t="str">
        <f>IF(OR('Reiskosten en presentie'!B41="afwezig",'Reiskosten en presentie'!B41="",'Reiskosten en presentie'!B40=""),"",'Reiskosten en presentie'!E41)</f>
        <v/>
      </c>
      <c r="E99" s="47" t="str">
        <f>IF(OR('Reiskosten en presentie'!B41="afwezig",'Reiskosten en presentie'!B41="",'Reiskosten en presentie'!B40=""),"",'Reiskosten en presentie'!F41)</f>
        <v/>
      </c>
      <c r="F99" s="47" t="str">
        <f>IF(OR('Reiskosten en presentie'!B41="afwezig",'Reiskosten en presentie'!B41="",'Reiskosten en presentie'!B40=""),"",'Reiskosten en presentie'!G41)</f>
        <v/>
      </c>
      <c r="G99" s="47" t="str">
        <f>IF(OR('Reiskosten en presentie'!B41="afwezig",'Reiskosten en presentie'!B41="",'Reiskosten en presentie'!B40=""),"",'Reiskosten en presentie'!H41)</f>
        <v/>
      </c>
      <c r="H99" s="47" t="str">
        <f>IF(OR('Reiskosten en presentie'!B41="afwezig",'Reiskosten en presentie'!B41="",'Reiskosten en presentie'!B40=""),"",'Reiskosten en presentie'!I41)</f>
        <v/>
      </c>
      <c r="I99" s="54" t="str">
        <f>IF(OR('Reiskosten en presentie'!B41="afwezig",'Reiskosten en presentie'!B41="",'Reiskosten en presentie'!B40=""),"","□")</f>
        <v/>
      </c>
      <c r="J99" s="1" t="str">
        <f>IF(OR('Reiskosten en presentie'!B41="afwezig",'Reiskosten en presentie'!B41="",'Reiskosten en presentie'!B40=""),"","controle")</f>
        <v/>
      </c>
    </row>
    <row r="100" spans="1:10" ht="15" x14ac:dyDescent="0.25">
      <c r="B100" s="46" t="str">
        <f>IF(OR('Reiskosten en presentie'!B41="afwezig",'Reiskosten en presentie'!B41="",'Reiskosten en presentie'!B40=""),"","0001 Kantoorbehoeften")</f>
        <v/>
      </c>
      <c r="D100" s="56" t="str">
        <f>IF(OR('Reiskosten en presentie'!B41="afwezig",'Reiskosten en presentie'!B41="",'Reiskosten en presentie'!B40=""),"",'Reiskosten en presentie'!F40+'Reiskosten en presentie'!K40)</f>
        <v/>
      </c>
    </row>
    <row r="101" spans="1:10" ht="15" x14ac:dyDescent="0.25">
      <c r="B101" s="46" t="str">
        <f>IF(OR('Reiskosten en presentie'!B41="afwezig",'Reiskosten en presentie'!B41="",'Reiskosten en presentie'!B40=""),"","0008 Reiskosten")</f>
        <v/>
      </c>
      <c r="D101" s="56" t="str">
        <f>IF(OR('Reiskosten en presentie'!B41="afwezig",'Reiskosten en presentie'!B41="",'Reiskosten en presentie'!B40=""),"",'Reiskosten en presentie'!J40)</f>
        <v/>
      </c>
    </row>
    <row r="103" spans="1:10" ht="15.6" x14ac:dyDescent="0.3">
      <c r="A103" s="49" t="str">
        <f>IF(OR('Reiskosten en presentie'!B43="afwezig",'Reiskosten en presentie'!B43="",'Reiskosten en presentie'!B42=""),"","20")</f>
        <v/>
      </c>
      <c r="B103" s="48" t="str">
        <f>IF(OR('Reiskosten en presentie'!B43="afwezig",'Reiskosten en presentie'!B43="",'Reiskosten en presentie'!B42=""),"","Naam:")</f>
        <v/>
      </c>
      <c r="C103" s="50"/>
      <c r="D103" s="50" t="str">
        <f>IF(OR('Reiskosten en presentie'!B43="afwezig",'Reiskosten en presentie'!B43="",'Reiskosten en presentie'!B42=""),"",'Reiskosten en presentie'!B42)</f>
        <v/>
      </c>
      <c r="E103" s="50"/>
      <c r="F103" s="50"/>
      <c r="G103" s="50"/>
      <c r="H103" s="50"/>
      <c r="I103" s="50"/>
      <c r="J103" s="50"/>
    </row>
    <row r="104" spans="1:10" ht="17.399999999999999" x14ac:dyDescent="0.3">
      <c r="A104" s="49"/>
      <c r="B104" s="138" t="str">
        <f>IF(OR('Reiskosten en presentie'!B43="afwezig",'Reiskosten en presentie'!B43="",'Reiskosten en presentie'!B42=""),"","Bankrekeningnummer:")</f>
        <v/>
      </c>
      <c r="C104" s="138"/>
      <c r="D104" s="47" t="str">
        <f>IF(OR('Reiskosten en presentie'!B43="afwezig",'Reiskosten en presentie'!B43="",'Reiskosten en presentie'!B42=""),"",'Reiskosten en presentie'!E43)</f>
        <v/>
      </c>
      <c r="E104" s="47" t="str">
        <f>IF(OR('Reiskosten en presentie'!B43="afwezig",'Reiskosten en presentie'!B43="",'Reiskosten en presentie'!B42=""),"",'Reiskosten en presentie'!F43)</f>
        <v/>
      </c>
      <c r="F104" s="47" t="str">
        <f>IF(OR('Reiskosten en presentie'!B43="afwezig",'Reiskosten en presentie'!B43="",'Reiskosten en presentie'!B42=""),"",'Reiskosten en presentie'!G43)</f>
        <v/>
      </c>
      <c r="G104" s="47" t="str">
        <f>IF(OR('Reiskosten en presentie'!B43="afwezig",'Reiskosten en presentie'!B43="",'Reiskosten en presentie'!B42=""),"",'Reiskosten en presentie'!H43)</f>
        <v/>
      </c>
      <c r="H104" s="47" t="str">
        <f>IF(OR('Reiskosten en presentie'!B43="afwezig",'Reiskosten en presentie'!B43="",'Reiskosten en presentie'!B42=""),"",'Reiskosten en presentie'!I97)</f>
        <v/>
      </c>
      <c r="I104" s="57" t="str">
        <f>IF(OR('Reiskosten en presentie'!B43="afwezig",'Reiskosten en presentie'!B43="",'Reiskosten en presentie'!B42=""),"","□")</f>
        <v/>
      </c>
      <c r="J104" s="1" t="str">
        <f>IF(OR('Reiskosten en presentie'!B43="afwezig",'Reiskosten en presentie'!B43="",'Reiskosten en presentie'!B42=""),"","controle")</f>
        <v/>
      </c>
    </row>
    <row r="105" spans="1:10" ht="15" x14ac:dyDescent="0.25">
      <c r="A105" s="50"/>
      <c r="B105" s="46" t="str">
        <f>IF(OR('Reiskosten en presentie'!B43="afwezig",'Reiskosten en presentie'!B43="",'Reiskosten en presentie'!B42=""),"","0001 Kantoorbehoeften")</f>
        <v/>
      </c>
      <c r="C105" s="50"/>
      <c r="D105" s="58" t="str">
        <f>IF(OR('Reiskosten en presentie'!B43="afwezig",'Reiskosten en presentie'!B43="",'Reiskosten en presentie'!B42=""),"",'Reiskosten en presentie'!F42+'Reiskosten en presentie'!K42)</f>
        <v/>
      </c>
      <c r="E105" s="47"/>
      <c r="F105" s="47"/>
      <c r="G105" s="47"/>
      <c r="H105" s="47"/>
      <c r="I105" s="50"/>
      <c r="J105" s="50"/>
    </row>
    <row r="106" spans="1:10" ht="15" x14ac:dyDescent="0.25">
      <c r="A106" s="50"/>
      <c r="B106" s="46" t="str">
        <f>IF(OR('Reiskosten en presentie'!B43="afwezig",'Reiskosten en presentie'!B43="",'Reiskosten en presentie'!B42=""),"","0008 Reiskosten")</f>
        <v/>
      </c>
      <c r="C106" s="50"/>
      <c r="D106" s="58" t="str">
        <f>IF(OR('Reiskosten en presentie'!B43="afwezig",'Reiskosten en presentie'!B43="",'Reiskosten en presentie'!B42=""),"",'Reiskosten en presentie'!J42)</f>
        <v/>
      </c>
      <c r="E106" s="47"/>
      <c r="F106" s="47"/>
      <c r="G106" s="47"/>
      <c r="H106" s="47"/>
      <c r="I106" s="50"/>
      <c r="J106" s="50"/>
    </row>
    <row r="108" spans="1:10" ht="15.6" x14ac:dyDescent="0.3">
      <c r="A108" s="49" t="str">
        <f>IF(OR('Reiskosten en presentie'!B45="afwezig",'Reiskosten en presentie'!B45="",'Reiskosten en presentie'!B44=""),"","21")</f>
        <v/>
      </c>
      <c r="B108" s="48" t="str">
        <f>IF(OR('Reiskosten en presentie'!B45="afwezig",'Reiskosten en presentie'!B45="",'Reiskosten en presentie'!B44=""),"","Naam:")</f>
        <v/>
      </c>
      <c r="C108" s="50"/>
      <c r="D108" s="50" t="str">
        <f>IF(OR('Reiskosten en presentie'!B45="afwezig",'Reiskosten en presentie'!B45="",'Reiskosten en presentie'!B44=""),"",'Reiskosten en presentie'!B44)</f>
        <v/>
      </c>
      <c r="E108" s="50"/>
      <c r="F108" s="50"/>
      <c r="G108" s="50"/>
      <c r="H108" s="50"/>
      <c r="I108" s="50"/>
      <c r="J108" s="50"/>
    </row>
    <row r="109" spans="1:10" ht="17.399999999999999" x14ac:dyDescent="0.3">
      <c r="A109" s="49"/>
      <c r="B109" s="138" t="str">
        <f>IF(OR('Reiskosten en presentie'!B45="afwezig",'Reiskosten en presentie'!B45="",'Reiskosten en presentie'!B44=""),"","Bankrekeningnummer:")</f>
        <v/>
      </c>
      <c r="C109" s="138"/>
      <c r="D109" s="47" t="str">
        <f>IF(OR('Reiskosten en presentie'!B45="afwezig",'Reiskosten en presentie'!B45="",'Reiskosten en presentie'!B44=""),"",'Reiskosten en presentie'!E45)</f>
        <v/>
      </c>
      <c r="E109" s="47" t="str">
        <f>IF(OR('Reiskosten en presentie'!B45="afwezig",'Reiskosten en presentie'!B45="",'Reiskosten en presentie'!B44=""),"",'Reiskosten en presentie'!F45)</f>
        <v/>
      </c>
      <c r="F109" s="47" t="str">
        <f>IF(OR('Reiskosten en presentie'!B45="afwezig",'Reiskosten en presentie'!B45="",'Reiskosten en presentie'!B44=""),"",'Reiskosten en presentie'!G45)</f>
        <v/>
      </c>
      <c r="G109" s="47" t="str">
        <f>IF(OR('Reiskosten en presentie'!B45="afwezig",'Reiskosten en presentie'!B45="",'Reiskosten en presentie'!B44=""),"",'Reiskosten en presentie'!H45)</f>
        <v/>
      </c>
      <c r="H109" s="47" t="str">
        <f>IF(OR('Reiskosten en presentie'!B45="afwezig",'Reiskosten en presentie'!B45="",'Reiskosten en presentie'!B44=""),"",'Reiskosten en presentie'!I45)</f>
        <v/>
      </c>
      <c r="I109" s="57" t="str">
        <f>IF(OR('Reiskosten en presentie'!B45="afwezig",'Reiskosten en presentie'!B45="",'Reiskosten en presentie'!B44=""),"","□")</f>
        <v/>
      </c>
      <c r="J109" s="1" t="str">
        <f>IF(OR('Reiskosten en presentie'!B45="afwezig",'Reiskosten en presentie'!B45="",'Reiskosten en presentie'!B44=""),"","controle")</f>
        <v/>
      </c>
    </row>
    <row r="110" spans="1:10" ht="15" x14ac:dyDescent="0.25">
      <c r="A110" s="50"/>
      <c r="B110" s="46" t="str">
        <f>IF(OR('Reiskosten en presentie'!B45="afwezig",'Reiskosten en presentie'!B45="",'Reiskosten en presentie'!B44=""),"","0001 Kantoorbehoeften")</f>
        <v/>
      </c>
      <c r="C110" s="50"/>
      <c r="D110" s="58" t="str">
        <f>IF(OR('Reiskosten en presentie'!B45="afwezig",'Reiskosten en presentie'!B45="",'Reiskosten en presentie'!B44=""),"",'Reiskosten en presentie'!F44+'Reiskosten en presentie'!K44)</f>
        <v/>
      </c>
      <c r="E110" s="47"/>
      <c r="F110" s="47"/>
      <c r="G110" s="47"/>
      <c r="H110" s="47"/>
      <c r="I110" s="50"/>
      <c r="J110" s="50"/>
    </row>
    <row r="111" spans="1:10" ht="15" x14ac:dyDescent="0.25">
      <c r="A111" s="50"/>
      <c r="B111" s="46" t="str">
        <f>IF(OR('Reiskosten en presentie'!B45="afwezig",'Reiskosten en presentie'!B45="",'Reiskosten en presentie'!B44=""),"","0008 Reiskosten")</f>
        <v/>
      </c>
      <c r="C111" s="50"/>
      <c r="D111" s="58" t="str">
        <f>IF(OR('Reiskosten en presentie'!B45="afwezig",'Reiskosten en presentie'!B45="",'Reiskosten en presentie'!B44=""),"",'Reiskosten en presentie'!J44)</f>
        <v/>
      </c>
      <c r="E111" s="47"/>
      <c r="F111" s="47"/>
      <c r="G111" s="47"/>
      <c r="H111" s="47"/>
      <c r="I111" s="50"/>
      <c r="J111" s="50"/>
    </row>
    <row r="113" spans="1:10" ht="15.6" x14ac:dyDescent="0.3">
      <c r="A113" s="53" t="str">
        <f>IF(OR('Reiskosten en presentie'!B47="afwezig",'Reiskosten en presentie'!B47="",'Reiskosten en presentie'!B46=""),"","22")</f>
        <v/>
      </c>
      <c r="B113" s="48" t="str">
        <f>IF(OR('Reiskosten en presentie'!B47="afwezig",'Reiskosten en presentie'!B47="",'Reiskosten en presentie'!B46=""),"","Naam:")</f>
        <v/>
      </c>
      <c r="D113" s="46" t="str">
        <f>IF(OR('Reiskosten en presentie'!B47="afwezig",'Reiskosten en presentie'!B47="",'Reiskosten en presentie'!B46=""),"",'Reiskosten en presentie'!B46)</f>
        <v/>
      </c>
      <c r="E113" s="46"/>
      <c r="F113" s="46"/>
      <c r="G113" s="46"/>
      <c r="H113" s="46"/>
    </row>
    <row r="114" spans="1:10" ht="17.399999999999999" x14ac:dyDescent="0.3">
      <c r="B114" s="78" t="str">
        <f>IF(OR('Reiskosten en presentie'!B47="afwezig",'Reiskosten en presentie'!B47="",'Reiskosten en presentie'!B46=""),"","Bankrekeningnummer:")</f>
        <v/>
      </c>
      <c r="C114" s="78"/>
      <c r="D114" s="47" t="str">
        <f>IF(OR('Reiskosten en presentie'!B47="afwezig",'Reiskosten en presentie'!B47="",'Reiskosten en presentie'!B46=""),"",'Reiskosten en presentie'!E47)</f>
        <v/>
      </c>
      <c r="E114" s="47" t="str">
        <f>IF(OR('Reiskosten en presentie'!B47="afwezig",'Reiskosten en presentie'!B47="",'Reiskosten en presentie'!B46=""),"",'Reiskosten en presentie'!F47)</f>
        <v/>
      </c>
      <c r="F114" s="47" t="str">
        <f>IF(OR('Reiskosten en presentie'!B47="afwezig",'Reiskosten en presentie'!B47="",'Reiskosten en presentie'!B46=""),"",'Reiskosten en presentie'!G47)</f>
        <v/>
      </c>
      <c r="G114" s="47" t="str">
        <f>IF(OR('Reiskosten en presentie'!B47="afwezig",'Reiskosten en presentie'!B47="",'Reiskosten en presentie'!B46=""),"",'Reiskosten en presentie'!H47)</f>
        <v/>
      </c>
      <c r="H114" s="47" t="str">
        <f>IF(OR('Reiskosten en presentie'!B47="afwezig",'Reiskosten en presentie'!B47="",'Reiskosten en presentie'!B46=""),"",'Reiskosten en presentie'!I47)</f>
        <v/>
      </c>
      <c r="I114" s="54" t="str">
        <f>IF(OR('Reiskosten en presentie'!B47="afwezig",'Reiskosten en presentie'!B47="",'Reiskosten en presentie'!B46=""),"","□")</f>
        <v/>
      </c>
      <c r="J114" s="1" t="str">
        <f>IF(OR('Reiskosten en presentie'!B47="afwezig",'Reiskosten en presentie'!B47="",'Reiskosten en presentie'!B46=""),"","controle")</f>
        <v/>
      </c>
    </row>
    <row r="115" spans="1:10" ht="15" x14ac:dyDescent="0.25">
      <c r="B115" s="46" t="str">
        <f>IF(OR('Reiskosten en presentie'!B47="afwezig",'Reiskosten en presentie'!B47="",'Reiskosten en presentie'!B46=""),"","0001 Kantoorbehoeften")</f>
        <v/>
      </c>
      <c r="D115" s="56" t="str">
        <f>IF(OR('Reiskosten en presentie'!B47="afwezig",'Reiskosten en presentie'!B47="",'Reiskosten en presentie'!B46=""),"",'Reiskosten en presentie'!F46+'Reiskosten en presentie'!K46)</f>
        <v/>
      </c>
    </row>
    <row r="116" spans="1:10" ht="15" x14ac:dyDescent="0.25">
      <c r="B116" s="46" t="str">
        <f>IF(OR('Reiskosten en presentie'!B47="afwezig",'Reiskosten en presentie'!B47="",'Reiskosten en presentie'!B46=""),"","0008 Reiskosten")</f>
        <v/>
      </c>
      <c r="D116" s="56" t="str">
        <f>IF(OR('Reiskosten en presentie'!B47="afwezig",'Reiskosten en presentie'!B47="",'Reiskosten en presentie'!B46=""),"",'Reiskosten en presentie'!J46)</f>
        <v/>
      </c>
    </row>
    <row r="118" spans="1:10" ht="15.6" x14ac:dyDescent="0.3">
      <c r="A118" s="49" t="str">
        <f>IF(OR('Reiskosten en presentie'!B49="afwezig",'Reiskosten en presentie'!B49="",'Reiskosten en presentie'!B48=""),"","23")</f>
        <v/>
      </c>
      <c r="B118" s="48" t="str">
        <f>IF(OR('Reiskosten en presentie'!B49="afwezig",'Reiskosten en presentie'!B49="",'Reiskosten en presentie'!B48=""),"","Naam:")</f>
        <v/>
      </c>
      <c r="C118" s="50"/>
      <c r="D118" s="50" t="str">
        <f>IF(OR('Reiskosten en presentie'!B49="afwezig",'Reiskosten en presentie'!B49="",'Reiskosten en presentie'!B48=""),"",'Reiskosten en presentie'!B48)</f>
        <v/>
      </c>
      <c r="E118" s="50"/>
      <c r="F118" s="50"/>
      <c r="G118" s="50"/>
      <c r="H118" s="50"/>
      <c r="I118" s="50"/>
      <c r="J118" s="50"/>
    </row>
    <row r="119" spans="1:10" ht="17.399999999999999" x14ac:dyDescent="0.3">
      <c r="A119" s="49"/>
      <c r="B119" s="138" t="str">
        <f>IF(OR('Reiskosten en presentie'!B49="afwezig",'Reiskosten en presentie'!B49="",'Reiskosten en presentie'!B48=""),"","Bankrekeningnummer:")</f>
        <v/>
      </c>
      <c r="C119" s="138"/>
      <c r="D119" s="47" t="str">
        <f>IF(OR('Reiskosten en presentie'!B49="afwezig",'Reiskosten en presentie'!B49="",'Reiskosten en presentie'!B48=""),"",'Reiskosten en presentie'!E49)</f>
        <v/>
      </c>
      <c r="E119" s="47" t="str">
        <f>IF(OR('Reiskosten en presentie'!B49="afwezig",'Reiskosten en presentie'!B49="",'Reiskosten en presentie'!B48=""),"",'Reiskosten en presentie'!F49)</f>
        <v/>
      </c>
      <c r="F119" s="47" t="str">
        <f>IF(OR('Reiskosten en presentie'!B49="afwezig",'Reiskosten en presentie'!B49="",'Reiskosten en presentie'!B48=""),"",'Reiskosten en presentie'!G49)</f>
        <v/>
      </c>
      <c r="G119" s="47" t="str">
        <f>IF(OR('Reiskosten en presentie'!B49="afwezig",'Reiskosten en presentie'!B49="",'Reiskosten en presentie'!B48=""),"",'Reiskosten en presentie'!H49)</f>
        <v/>
      </c>
      <c r="H119" s="47" t="str">
        <f>IF(OR('Reiskosten en presentie'!B49="afwezig",'Reiskosten en presentie'!B49="",'Reiskosten en presentie'!B48=""),"",'Reiskosten en presentie'!I49)</f>
        <v/>
      </c>
      <c r="I119" s="57" t="str">
        <f>IF(OR('Reiskosten en presentie'!B49="afwezig",'Reiskosten en presentie'!B49="",'Reiskosten en presentie'!B48=""),"","□")</f>
        <v/>
      </c>
      <c r="J119" s="1" t="str">
        <f>IF(OR('Reiskosten en presentie'!B49="afwezig",'Reiskosten en presentie'!B49="",'Reiskosten en presentie'!B48=""),"","controle")</f>
        <v/>
      </c>
    </row>
    <row r="120" spans="1:10" ht="15" x14ac:dyDescent="0.25">
      <c r="A120" s="50"/>
      <c r="B120" s="46" t="str">
        <f>IF(OR('Reiskosten en presentie'!B49="afwezig",'Reiskosten en presentie'!B49="",'Reiskosten en presentie'!B48=""),"","0001 Kantoorbehoeften")</f>
        <v/>
      </c>
      <c r="C120" s="50"/>
      <c r="D120" s="58" t="str">
        <f>IF(OR('Reiskosten en presentie'!B49="afwezig",'Reiskosten en presentie'!B49="",'Reiskosten en presentie'!B48=""),"",'Reiskosten en presentie'!F48+'Reiskosten en presentie'!K48)</f>
        <v/>
      </c>
      <c r="E120" s="47"/>
      <c r="F120" s="47"/>
      <c r="G120" s="47"/>
      <c r="H120" s="47"/>
      <c r="I120" s="50"/>
      <c r="J120" s="50"/>
    </row>
    <row r="121" spans="1:10" ht="15" x14ac:dyDescent="0.25">
      <c r="A121" s="50"/>
      <c r="B121" s="46" t="str">
        <f>IF(OR('Reiskosten en presentie'!B49="afwezig",'Reiskosten en presentie'!B49="",'Reiskosten en presentie'!B48=""),"","0008 Reiskosten")</f>
        <v/>
      </c>
      <c r="C121" s="50"/>
      <c r="D121" s="58" t="str">
        <f>IF(OR('Reiskosten en presentie'!B49="afwezig",'Reiskosten en presentie'!B49="",'Reiskosten en presentie'!B48=""),"",'Reiskosten en presentie'!J48)</f>
        <v/>
      </c>
      <c r="E121" s="47"/>
      <c r="F121" s="47"/>
      <c r="G121" s="47"/>
      <c r="H121" s="47"/>
      <c r="I121" s="50"/>
      <c r="J121" s="50"/>
    </row>
    <row r="123" spans="1:10" ht="15.6" x14ac:dyDescent="0.3">
      <c r="A123" s="49" t="str">
        <f>IF(OR('Reiskosten en presentie'!B51="afwezig",'Reiskosten en presentie'!B51="",'Reiskosten en presentie'!B50=""),"","24")</f>
        <v/>
      </c>
      <c r="B123" s="48" t="str">
        <f>IF(OR('Reiskosten en presentie'!B51="afwezig",'Reiskosten en presentie'!B51="",'Reiskosten en presentie'!B50=""),"","Naam:")</f>
        <v/>
      </c>
      <c r="C123" s="50"/>
      <c r="D123" s="50" t="str">
        <f>IF(OR('Reiskosten en presentie'!B51="afwezig",'Reiskosten en presentie'!B51="",'Reiskosten en presentie'!B50=""),"",'Reiskosten en presentie'!B50)</f>
        <v/>
      </c>
      <c r="E123" s="50"/>
      <c r="F123" s="50"/>
      <c r="G123" s="50"/>
      <c r="H123" s="50"/>
      <c r="I123" s="50"/>
      <c r="J123" s="50"/>
    </row>
    <row r="124" spans="1:10" ht="17.399999999999999" x14ac:dyDescent="0.3">
      <c r="A124" s="49"/>
      <c r="B124" s="138" t="str">
        <f>IF(OR('Reiskosten en presentie'!B51="afwezig",'Reiskosten en presentie'!B51="",'Reiskosten en presentie'!B50=""),"","Bankrekeningnummer:")</f>
        <v/>
      </c>
      <c r="C124" s="138"/>
      <c r="D124" s="47" t="str">
        <f>IF(OR('Reiskosten en presentie'!B51="afwezig",'Reiskosten en presentie'!B51="",'Reiskosten en presentie'!B50=""),"",'Reiskosten en presentie'!E51)</f>
        <v/>
      </c>
      <c r="E124" s="47" t="str">
        <f>IF(OR('Reiskosten en presentie'!B51="afwezig",'Reiskosten en presentie'!B51="",'Reiskosten en presentie'!B50=""),"",'Reiskosten en presentie'!F51)</f>
        <v/>
      </c>
      <c r="F124" s="47" t="str">
        <f>IF(OR('Reiskosten en presentie'!B51="afwezig",'Reiskosten en presentie'!B51="",'Reiskosten en presentie'!B50=""),"",'Reiskosten en presentie'!G51)</f>
        <v/>
      </c>
      <c r="G124" s="47" t="str">
        <f>IF(OR('Reiskosten en presentie'!B51="afwezig",'Reiskosten en presentie'!B51="",'Reiskosten en presentie'!B50=""),"",'Reiskosten en presentie'!H51)</f>
        <v/>
      </c>
      <c r="H124" s="47" t="str">
        <f>IF(OR('Reiskosten en presentie'!B51="afwezig",'Reiskosten en presentie'!B51="",'Reiskosten en presentie'!B50=""),"",'Reiskosten en presentie'!I51)</f>
        <v/>
      </c>
      <c r="I124" s="57" t="str">
        <f>IF(OR('Reiskosten en presentie'!B51="afwezig",'Reiskosten en presentie'!B51="",'Reiskosten en presentie'!B50=""),"","□")</f>
        <v/>
      </c>
      <c r="J124" s="1" t="str">
        <f>IF(OR('Reiskosten en presentie'!B51="afwezig",'Reiskosten en presentie'!B51="",'Reiskosten en presentie'!B50=""),"","controle")</f>
        <v/>
      </c>
    </row>
    <row r="125" spans="1:10" ht="15" x14ac:dyDescent="0.25">
      <c r="A125" s="50"/>
      <c r="B125" s="46" t="str">
        <f>IF(OR('Reiskosten en presentie'!B51="afwezig",'Reiskosten en presentie'!B51="",'Reiskosten en presentie'!B50=""),"","0001 Kantoorbehoeften")</f>
        <v/>
      </c>
      <c r="C125" s="50"/>
      <c r="D125" s="58" t="str">
        <f>IF(OR('Reiskosten en presentie'!B51="afwezig",'Reiskosten en presentie'!B51="",'Reiskosten en presentie'!B50=""),"",'Reiskosten en presentie'!F50+'Reiskosten en presentie'!K50)</f>
        <v/>
      </c>
      <c r="E125" s="47"/>
      <c r="F125" s="47"/>
      <c r="G125" s="47"/>
      <c r="H125" s="47"/>
      <c r="I125" s="50"/>
      <c r="J125" s="50"/>
    </row>
    <row r="126" spans="1:10" ht="15" x14ac:dyDescent="0.25">
      <c r="A126" s="50"/>
      <c r="B126" s="46" t="str">
        <f>IF(OR('Reiskosten en presentie'!B51="afwezig",'Reiskosten en presentie'!B51="",'Reiskosten en presentie'!B50=""),"","0008 Reiskosten")</f>
        <v/>
      </c>
      <c r="C126" s="50"/>
      <c r="D126" s="58" t="str">
        <f>IF(OR('Reiskosten en presentie'!B51="afwezig",'Reiskosten en presentie'!B51="",'Reiskosten en presentie'!B50=""),"",'Reiskosten en presentie'!J50)</f>
        <v/>
      </c>
      <c r="E126" s="47"/>
      <c r="F126" s="47"/>
      <c r="G126" s="47"/>
      <c r="H126" s="47"/>
      <c r="I126" s="50"/>
      <c r="J126" s="50"/>
    </row>
    <row r="128" spans="1:10" ht="15.6" x14ac:dyDescent="0.3">
      <c r="A128" s="53" t="str">
        <f>IF(OR('Reiskosten en presentie'!B53="afwezig",'Reiskosten en presentie'!B53="",'Reiskosten en presentie'!B52=""),"","25")</f>
        <v/>
      </c>
      <c r="B128" s="48" t="str">
        <f>IF(OR('Reiskosten en presentie'!B53="afwezig",'Reiskosten en presentie'!B53="",'Reiskosten en presentie'!B52=""),"","Naam:")</f>
        <v/>
      </c>
      <c r="D128" s="46" t="str">
        <f>IF(OR('Reiskosten en presentie'!B53="afwezig",'Reiskosten en presentie'!B53="",'Reiskosten en presentie'!B52=""),"",'Reiskosten en presentie'!B52)</f>
        <v/>
      </c>
      <c r="E128" s="46"/>
      <c r="F128" s="46"/>
      <c r="G128" s="46"/>
      <c r="H128" s="46"/>
    </row>
    <row r="129" spans="1:10" ht="17.399999999999999" x14ac:dyDescent="0.3">
      <c r="B129" s="78" t="str">
        <f>IF(OR('Reiskosten en presentie'!B53="afwezig",'Reiskosten en presentie'!B53="",'Reiskosten en presentie'!B52=""),"","Bankrekeningnummer:")</f>
        <v/>
      </c>
      <c r="C129" s="78"/>
      <c r="D129" s="47" t="str">
        <f>IF(OR('Reiskosten en presentie'!B53="afwezig",'Reiskosten en presentie'!B53="",'Reiskosten en presentie'!B52=""),"",'Reiskosten en presentie'!E53)</f>
        <v/>
      </c>
      <c r="E129" s="47" t="str">
        <f>IF(OR('Reiskosten en presentie'!B53="afwezig",'Reiskosten en presentie'!B53="",'Reiskosten en presentie'!B52=""),"",'Reiskosten en presentie'!F53)</f>
        <v/>
      </c>
      <c r="F129" s="47" t="str">
        <f>IF(OR('Reiskosten en presentie'!B53="afwezig",'Reiskosten en presentie'!B53="",'Reiskosten en presentie'!B52=""),"",'Reiskosten en presentie'!G53)</f>
        <v/>
      </c>
      <c r="G129" s="47" t="str">
        <f>IF(OR('Reiskosten en presentie'!B53="afwezig",'Reiskosten en presentie'!B53="",'Reiskosten en presentie'!B52=""),"",'Reiskosten en presentie'!H53)</f>
        <v/>
      </c>
      <c r="H129" s="47" t="str">
        <f>IF(OR('Reiskosten en presentie'!B53="afwezig",'Reiskosten en presentie'!B53="",'Reiskosten en presentie'!B52=""),"",'Reiskosten en presentie'!I53)</f>
        <v/>
      </c>
      <c r="I129" s="54" t="str">
        <f>IF(OR('Reiskosten en presentie'!B53="afwezig",'Reiskosten en presentie'!B53="",'Reiskosten en presentie'!B52=""),"","□")</f>
        <v/>
      </c>
      <c r="J129" s="1" t="str">
        <f>IF(OR('Reiskosten en presentie'!B53="afwezig",'Reiskosten en presentie'!B53="",'Reiskosten en presentie'!B52=""),"","controle")</f>
        <v/>
      </c>
    </row>
    <row r="130" spans="1:10" ht="15" x14ac:dyDescent="0.25">
      <c r="B130" s="46" t="str">
        <f>IF(OR('Reiskosten en presentie'!B53="afwezig",'Reiskosten en presentie'!B53="",'Reiskosten en presentie'!B52=""),"","0001 Kantoorbehoeften")</f>
        <v/>
      </c>
      <c r="D130" s="56" t="str">
        <f>IF(OR('Reiskosten en presentie'!B53="afwezig",'Reiskosten en presentie'!B53="",'Reiskosten en presentie'!B52=""),"",'Reiskosten en presentie'!F52+'Reiskosten en presentie'!K52)</f>
        <v/>
      </c>
    </row>
    <row r="131" spans="1:10" ht="15" x14ac:dyDescent="0.25">
      <c r="B131" s="46" t="str">
        <f>IF(OR('Reiskosten en presentie'!B53="afwezig",'Reiskosten en presentie'!B53="",'Reiskosten en presentie'!B52=""),"","0008 Reiskosten")</f>
        <v/>
      </c>
      <c r="D131" s="56" t="str">
        <f>IF(OR('Reiskosten en presentie'!B53="afwezig",'Reiskosten en presentie'!B53="",'Reiskosten en presentie'!B52=""),"",'Reiskosten en presentie'!J52)</f>
        <v/>
      </c>
    </row>
    <row r="133" spans="1:10" ht="15.6" x14ac:dyDescent="0.3">
      <c r="A133" s="49" t="str">
        <f>IF(OR('Reiskosten en presentie'!B55="afwezig",'Reiskosten en presentie'!B55="",'Reiskosten en presentie'!B54=""),"","26")</f>
        <v/>
      </c>
      <c r="B133" s="48" t="str">
        <f>IF(OR('Reiskosten en presentie'!B55="afwezig",'Reiskosten en presentie'!B55="",'Reiskosten en presentie'!B54=""),"","Naam:")</f>
        <v/>
      </c>
      <c r="C133" s="50"/>
      <c r="D133" s="50" t="str">
        <f>IF(OR('Reiskosten en presentie'!B55="afwezig",'Reiskosten en presentie'!B55="",'Reiskosten en presentie'!B54=""),"",'Reiskosten en presentie'!B54)</f>
        <v/>
      </c>
      <c r="E133" s="50"/>
      <c r="F133" s="50"/>
      <c r="G133" s="50"/>
      <c r="H133" s="50"/>
      <c r="I133" s="50"/>
      <c r="J133" s="50"/>
    </row>
    <row r="134" spans="1:10" ht="17.399999999999999" x14ac:dyDescent="0.3">
      <c r="A134" s="49"/>
      <c r="B134" s="138" t="str">
        <f>IF(OR('Reiskosten en presentie'!B55="afwezig",'Reiskosten en presentie'!B55="",'Reiskosten en presentie'!B54=""),"","Bankrekeningnummer:")</f>
        <v/>
      </c>
      <c r="C134" s="138"/>
      <c r="D134" s="47" t="str">
        <f>IF(OR('Reiskosten en presentie'!B55="afwezig",'Reiskosten en presentie'!B55="",'Reiskosten en presentie'!B54=""),"",'Reiskosten en presentie'!E55)</f>
        <v/>
      </c>
      <c r="E134" s="47" t="str">
        <f>IF(OR('Reiskosten en presentie'!B55="afwezig",'Reiskosten en presentie'!B55="",'Reiskosten en presentie'!B54=""),"",'Reiskosten en presentie'!F127)</f>
        <v/>
      </c>
      <c r="F134" s="47" t="str">
        <f>IF(OR('Reiskosten en presentie'!B127="afwezig",'Reiskosten en presentie'!B127="",'Reiskosten en presentie'!B126=""),"",'Reiskosten en presentie'!G55)</f>
        <v/>
      </c>
      <c r="G134" s="47" t="str">
        <f>IF(OR('Reiskosten en presentie'!B55="afwezig",'Reiskosten en presentie'!B55="",'Reiskosten en presentie'!B54=""),"",'Reiskosten en presentie'!H55)</f>
        <v/>
      </c>
      <c r="H134" s="47" t="str">
        <f>IF(OR('Reiskosten en presentie'!B55="afwezig",'Reiskosten en presentie'!B55="",'Reiskosten en presentie'!B54=""),"",'Reiskosten en presentie'!I55)</f>
        <v/>
      </c>
      <c r="I134" s="57" t="str">
        <f>IF(OR('Reiskosten en presentie'!B55="afwezig",'Reiskosten en presentie'!B55="",'Reiskosten en presentie'!B54=""),"","□")</f>
        <v/>
      </c>
      <c r="J134" s="1" t="str">
        <f>IF(OR('Reiskosten en presentie'!B55="afwezig",'Reiskosten en presentie'!B55="",'Reiskosten en presentie'!B54=""),"","controle")</f>
        <v/>
      </c>
    </row>
    <row r="135" spans="1:10" ht="15" x14ac:dyDescent="0.25">
      <c r="A135" s="50"/>
      <c r="B135" s="46" t="str">
        <f>IF(OR('Reiskosten en presentie'!B55="afwezig",'Reiskosten en presentie'!B55="",'Reiskosten en presentie'!B54=""),"","0001 Kantoorbehoeften")</f>
        <v/>
      </c>
      <c r="C135" s="50"/>
      <c r="D135" s="58" t="str">
        <f>IF(OR('Reiskosten en presentie'!B55="afwezig",'Reiskosten en presentie'!B55="",'Reiskosten en presentie'!B54=""),"",'Reiskosten en presentie'!F54+'Reiskosten en presentie'!K54)</f>
        <v/>
      </c>
      <c r="E135" s="47"/>
      <c r="F135" s="47"/>
      <c r="G135" s="47"/>
      <c r="H135" s="47"/>
      <c r="I135" s="50"/>
      <c r="J135" s="50"/>
    </row>
    <row r="136" spans="1:10" ht="15" x14ac:dyDescent="0.25">
      <c r="A136" s="50"/>
      <c r="B136" s="46" t="str">
        <f>IF(OR('Reiskosten en presentie'!B55="afwezig",'Reiskosten en presentie'!B55="",'Reiskosten en presentie'!B54=""),"","0008 Reiskosten")</f>
        <v/>
      </c>
      <c r="C136" s="50"/>
      <c r="D136" s="58" t="str">
        <f>IF(OR('Reiskosten en presentie'!B55="afwezig",'Reiskosten en presentie'!B55="",'Reiskosten en presentie'!B54=""),"",'Reiskosten en presentie'!J54)</f>
        <v/>
      </c>
      <c r="E136" s="47"/>
      <c r="F136" s="47"/>
      <c r="G136" s="47"/>
      <c r="H136" s="47"/>
      <c r="I136" s="50"/>
      <c r="J136" s="50"/>
    </row>
    <row r="138" spans="1:10" ht="15.6" x14ac:dyDescent="0.3">
      <c r="A138" s="49" t="str">
        <f>IF(OR('Reiskosten en presentie'!B57="afwezig",'Reiskosten en presentie'!B57="",'Reiskosten en presentie'!B56=""),"","27")</f>
        <v/>
      </c>
      <c r="B138" s="48" t="str">
        <f>IF(OR('Reiskosten en presentie'!B57="afwezig",'Reiskosten en presentie'!B57="",'Reiskosten en presentie'!B56=""),"","Naam:")</f>
        <v/>
      </c>
      <c r="C138" s="50"/>
      <c r="D138" s="50" t="str">
        <f>IF(OR('Reiskosten en presentie'!B57="afwezig",'Reiskosten en presentie'!B57="",'Reiskosten en presentie'!B56=""),"",'Reiskosten en presentie'!B128)</f>
        <v/>
      </c>
      <c r="E138" s="50"/>
      <c r="F138" s="50"/>
      <c r="G138" s="50"/>
      <c r="H138" s="50"/>
      <c r="I138" s="50"/>
      <c r="J138" s="50"/>
    </row>
    <row r="139" spans="1:10" ht="17.399999999999999" x14ac:dyDescent="0.3">
      <c r="A139" s="49"/>
      <c r="B139" s="138" t="str">
        <f>IF(OR('Reiskosten en presentie'!B57="afwezig",'Reiskosten en presentie'!B57="",'Reiskosten en presentie'!B56=""),"","Bankrekeningnummer:")</f>
        <v/>
      </c>
      <c r="C139" s="138"/>
      <c r="D139" s="47" t="str">
        <f>IF(OR('Reiskosten en presentie'!B57="afwezig",'Reiskosten en presentie'!B57="",'Reiskosten en presentie'!B56=""),"",'Reiskosten en presentie'!E57)</f>
        <v/>
      </c>
      <c r="E139" s="47" t="str">
        <f>IF(OR('Reiskosten en presentie'!B57="afwezig",'Reiskosten en presentie'!B57="",'Reiskosten en presentie'!B56=""),"",'Reiskosten en presentie'!F57)</f>
        <v/>
      </c>
      <c r="F139" s="47" t="str">
        <f>IF(OR('Reiskosten en presentie'!B57="afwezig",'Reiskosten en presentie'!B57="",'Reiskosten en presentie'!B56=""),"",'Reiskosten en presentie'!G57)</f>
        <v/>
      </c>
      <c r="G139" s="47" t="str">
        <f>IF(OR('Reiskosten en presentie'!B57="afwezig",'Reiskosten en presentie'!B57="",'Reiskosten en presentie'!B56=""),"",'Reiskosten en presentie'!H57)</f>
        <v/>
      </c>
      <c r="H139" s="47" t="str">
        <f>IF(OR('Reiskosten en presentie'!B57="afwezig",'Reiskosten en presentie'!B57="",'Reiskosten en presentie'!B56=""),"",'Reiskosten en presentie'!I57)</f>
        <v/>
      </c>
      <c r="I139" s="57" t="str">
        <f>IF(OR('Reiskosten en presentie'!B57="afwezig",'Reiskosten en presentie'!B57="",'Reiskosten en presentie'!B56=""),"","□")</f>
        <v/>
      </c>
      <c r="J139" s="1" t="str">
        <f>IF(OR('Reiskosten en presentie'!B57="afwezig",'Reiskosten en presentie'!B57="",'Reiskosten en presentie'!B56=""),"","controle")</f>
        <v/>
      </c>
    </row>
    <row r="140" spans="1:10" ht="15" x14ac:dyDescent="0.25">
      <c r="A140" s="50"/>
      <c r="B140" s="46" t="str">
        <f>IF(OR('Reiskosten en presentie'!B57="afwezig",'Reiskosten en presentie'!B57="",'Reiskosten en presentie'!B56=""),"","0001 Kantoorbehoeften")</f>
        <v/>
      </c>
      <c r="C140" s="50"/>
      <c r="D140" s="58" t="str">
        <f>IF(OR('Reiskosten en presentie'!B57="afwezig",'Reiskosten en presentie'!B57="",'Reiskosten en presentie'!B56=""),"",'Reiskosten en presentie'!F56+'Reiskosten en presentie'!K56)</f>
        <v/>
      </c>
      <c r="E140" s="47"/>
      <c r="F140" s="47"/>
      <c r="G140" s="47"/>
      <c r="H140" s="47"/>
      <c r="I140" s="50"/>
      <c r="J140" s="50"/>
    </row>
    <row r="141" spans="1:10" ht="15" x14ac:dyDescent="0.25">
      <c r="A141" s="50"/>
      <c r="B141" s="46" t="str">
        <f>IF(OR('Reiskosten en presentie'!B57="afwezig",'Reiskosten en presentie'!B57="",'Reiskosten en presentie'!B56=""),"","0008 Reiskosten")</f>
        <v/>
      </c>
      <c r="C141" s="50"/>
      <c r="D141" s="58" t="str">
        <f>IF(OR('Reiskosten en presentie'!B57="afwezig",'Reiskosten en presentie'!B57="",'Reiskosten en presentie'!B56=""),"",'Reiskosten en presentie'!J56)</f>
        <v/>
      </c>
      <c r="E141" s="47"/>
      <c r="F141" s="47"/>
      <c r="G141" s="47"/>
      <c r="H141" s="47"/>
      <c r="I141" s="50"/>
      <c r="J141" s="50"/>
    </row>
    <row r="143" spans="1:10" ht="15.6" x14ac:dyDescent="0.3">
      <c r="A143" s="53" t="str">
        <f>IF(OR('Reiskosten en presentie'!B59="afwezig",'Reiskosten en presentie'!B59="",'Reiskosten en presentie'!B58=""),"","28")</f>
        <v/>
      </c>
      <c r="B143" s="48" t="str">
        <f>IF(OR('Reiskosten en presentie'!B59="afwezig",'Reiskosten en presentie'!B59="",'Reiskosten en presentie'!B58=""),"","Naam:")</f>
        <v/>
      </c>
      <c r="D143" s="46" t="str">
        <f>IF(OR('Reiskosten en presentie'!B59="afwezig",'Reiskosten en presentie'!B59="",'Reiskosten en presentie'!B58=""),"",'Reiskosten en presentie'!B58)</f>
        <v/>
      </c>
      <c r="E143" s="46"/>
      <c r="F143" s="46"/>
      <c r="G143" s="46"/>
      <c r="H143" s="46"/>
    </row>
    <row r="144" spans="1:10" ht="17.399999999999999" x14ac:dyDescent="0.3">
      <c r="B144" s="78" t="str">
        <f>IF(OR('Reiskosten en presentie'!B59="afwezig",'Reiskosten en presentie'!B59="",'Reiskosten en presentie'!B58=""),"","Bankrekeningnummer:")</f>
        <v/>
      </c>
      <c r="C144" s="78"/>
      <c r="D144" s="47" t="str">
        <f>IF(OR('Reiskosten en presentie'!B59="afwezig",'Reiskosten en presentie'!B59="",'Reiskosten en presentie'!B58=""),"",'Reiskosten en presentie'!E59)</f>
        <v/>
      </c>
      <c r="E144" s="47" t="str">
        <f>IF(OR('Reiskosten en presentie'!B59="afwezig",'Reiskosten en presentie'!B59="",'Reiskosten en presentie'!B58=""),"",'Reiskosten en presentie'!F59)</f>
        <v/>
      </c>
      <c r="F144" s="47" t="str">
        <f>IF(OR('Reiskosten en presentie'!B59="afwezig",'Reiskosten en presentie'!B59="",'Reiskosten en presentie'!B58=""),"",'Reiskosten en presentie'!G59)</f>
        <v/>
      </c>
      <c r="G144" s="47" t="str">
        <f>IF(OR('Reiskosten en presentie'!B59="afwezig",'Reiskosten en presentie'!B59="",'Reiskosten en presentie'!B58=""),"",'Reiskosten en presentie'!H59)</f>
        <v/>
      </c>
      <c r="H144" s="47" t="str">
        <f>IF(OR('Reiskosten en presentie'!B59="afwezig",'Reiskosten en presentie'!B59="",'Reiskosten en presentie'!B58=""),"",'Reiskosten en presentie'!I59)</f>
        <v/>
      </c>
      <c r="I144" s="54" t="str">
        <f>IF(OR('Reiskosten en presentie'!B59="afwezig",'Reiskosten en presentie'!B59="",'Reiskosten en presentie'!B58=""),"","□")</f>
        <v/>
      </c>
      <c r="J144" s="1" t="str">
        <f>IF(OR('Reiskosten en presentie'!B59="afwezig",'Reiskosten en presentie'!B59="",'Reiskosten en presentie'!B58=""),"","controle")</f>
        <v/>
      </c>
    </row>
    <row r="145" spans="1:10" ht="15" x14ac:dyDescent="0.25">
      <c r="B145" s="46" t="str">
        <f>IF(OR('Reiskosten en presentie'!B59="afwezig",'Reiskosten en presentie'!B59="",'Reiskosten en presentie'!B58=""),"","0001 Kantoorbehoeften")</f>
        <v/>
      </c>
      <c r="D145" s="56" t="str">
        <f>IF(OR('Reiskosten en presentie'!B59="afwezig",'Reiskosten en presentie'!B59="",'Reiskosten en presentie'!B58=""),"",'Reiskosten en presentie'!F58+'Reiskosten en presentie'!K58)</f>
        <v/>
      </c>
    </row>
    <row r="146" spans="1:10" ht="15" x14ac:dyDescent="0.25">
      <c r="B146" s="46" t="str">
        <f>IF(OR('Reiskosten en presentie'!B59="afwezig",'Reiskosten en presentie'!B59="",'Reiskosten en presentie'!B58=""),"","0008 Reiskosten")</f>
        <v/>
      </c>
      <c r="D146" s="56" t="str">
        <f>IF(OR('Reiskosten en presentie'!B59="afwezig",'Reiskosten en presentie'!B59="",'Reiskosten en presentie'!B58=""),"",'Reiskosten en presentie'!J58)</f>
        <v/>
      </c>
    </row>
    <row r="148" spans="1:10" ht="15.6" x14ac:dyDescent="0.3">
      <c r="A148" s="49" t="str">
        <f>IF(OR('Reiskosten en presentie'!B61="afwezig",'Reiskosten en presentie'!B61="",'Reiskosten en presentie'!B60=""),"","29")</f>
        <v/>
      </c>
      <c r="B148" s="48" t="str">
        <f>IF(OR('Reiskosten en presentie'!B61="afwezig",'Reiskosten en presentie'!B61="",'Reiskosten en presentie'!B60=""),"","Naam:")</f>
        <v/>
      </c>
      <c r="C148" s="50"/>
      <c r="D148" s="50" t="str">
        <f>IF(OR('Reiskosten en presentie'!B61="afwezig",'Reiskosten en presentie'!B61="",'Reiskosten en presentie'!B60=""),"",'Reiskosten en presentie'!B60)</f>
        <v/>
      </c>
      <c r="E148" s="50"/>
      <c r="F148" s="50"/>
      <c r="G148" s="50"/>
      <c r="H148" s="50"/>
      <c r="I148" s="50"/>
      <c r="J148" s="50"/>
    </row>
    <row r="149" spans="1:10" ht="17.399999999999999" x14ac:dyDescent="0.3">
      <c r="A149" s="49"/>
      <c r="B149" s="138" t="str">
        <f>IF(OR('Reiskosten en presentie'!B61="afwezig",'Reiskosten en presentie'!B61="",'Reiskosten en presentie'!B60=""),"","Bankrekeningnummer:")</f>
        <v/>
      </c>
      <c r="C149" s="138"/>
      <c r="D149" s="47" t="str">
        <f>IF(OR('Reiskosten en presentie'!B61="afwezig",'Reiskosten en presentie'!B61="",'Reiskosten en presentie'!B60=""),"",'Reiskosten en presentie'!E61)</f>
        <v/>
      </c>
      <c r="E149" s="47" t="str">
        <f>IF(OR('Reiskosten en presentie'!B61="afwezig",'Reiskosten en presentie'!B61="",'Reiskosten en presentie'!B60=""),"",'Reiskosten en presentie'!F61)</f>
        <v/>
      </c>
      <c r="F149" s="47" t="str">
        <f>IF(OR('Reiskosten en presentie'!B61="afwezig",'Reiskosten en presentie'!B61="",'Reiskosten en presentie'!B60=""),"",'Reiskosten en presentie'!G61)</f>
        <v/>
      </c>
      <c r="G149" s="47" t="str">
        <f>IF(OR('Reiskosten en presentie'!B61="afwezig",'Reiskosten en presentie'!B61="",'Reiskosten en presentie'!B60=""),"",'Reiskosten en presentie'!H61)</f>
        <v/>
      </c>
      <c r="H149" s="47" t="str">
        <f>IF(OR('Reiskosten en presentie'!B61="afwezig",'Reiskosten en presentie'!B61="",'Reiskosten en presentie'!B60=""),"",'Reiskosten en presentie'!I61)</f>
        <v/>
      </c>
      <c r="I149" s="57" t="str">
        <f>IF(OR('Reiskosten en presentie'!B61="afwezig",'Reiskosten en presentie'!B61="",'Reiskosten en presentie'!B60=""),"","□")</f>
        <v/>
      </c>
      <c r="J149" s="1" t="str">
        <f>IF(OR('Reiskosten en presentie'!B61="afwezig",'Reiskosten en presentie'!B61="",'Reiskosten en presentie'!B60=""),"","controle")</f>
        <v/>
      </c>
    </row>
    <row r="150" spans="1:10" ht="15" x14ac:dyDescent="0.25">
      <c r="A150" s="50"/>
      <c r="B150" s="46" t="str">
        <f>IF(OR('Reiskosten en presentie'!B61="afwezig",'Reiskosten en presentie'!B61="",'Reiskosten en presentie'!B60=""),"","0001 Kantoorbehoeften")</f>
        <v/>
      </c>
      <c r="C150" s="50"/>
      <c r="D150" s="58" t="str">
        <f>IF(OR('Reiskosten en presentie'!B61="afwezig",'Reiskosten en presentie'!B61="",'Reiskosten en presentie'!B60=""),"",'Reiskosten en presentie'!F60+'Reiskosten en presentie'!K60)</f>
        <v/>
      </c>
      <c r="E150" s="47"/>
      <c r="F150" s="47"/>
      <c r="G150" s="47"/>
      <c r="H150" s="47"/>
      <c r="I150" s="50"/>
      <c r="J150" s="50"/>
    </row>
    <row r="151" spans="1:10" ht="15" x14ac:dyDescent="0.25">
      <c r="A151" s="50"/>
      <c r="B151" s="46" t="str">
        <f>IF(OR('Reiskosten en presentie'!B61="afwezig",'Reiskosten en presentie'!B61="",'Reiskosten en presentie'!B60=""),"","0008 Reiskosten")</f>
        <v/>
      </c>
      <c r="C151" s="50"/>
      <c r="D151" s="58" t="str">
        <f>IF(OR('Reiskosten en presentie'!B61="afwezig",'Reiskosten en presentie'!B61="",'Reiskosten en presentie'!B60=""),"",'Reiskosten en presentie'!J60)</f>
        <v/>
      </c>
      <c r="E151" s="47"/>
      <c r="F151" s="47"/>
      <c r="G151" s="47"/>
      <c r="H151" s="47"/>
      <c r="I151" s="50"/>
      <c r="J151" s="50"/>
    </row>
    <row r="153" spans="1:10" ht="15.6" x14ac:dyDescent="0.3">
      <c r="A153" s="49" t="str">
        <f>IF(OR('Reiskosten en presentie'!B63="afwezig",'Reiskosten en presentie'!B62="",'Reiskosten en presentie'!B62=""),"","30")</f>
        <v/>
      </c>
      <c r="B153" s="48" t="str">
        <f>IF(OR('Reiskosten en presentie'!B63="afwezig",'Reiskosten en presentie'!B62="",'Reiskosten en presentie'!B62=""),"","Naam:")</f>
        <v/>
      </c>
      <c r="C153" s="50"/>
      <c r="D153" s="50" t="str">
        <f>IF(OR('Reiskosten en presentie'!B63="afwezig",'Reiskosten en presentie'!B62="",'Reiskosten en presentie'!B62=""),"",'Reiskosten en presentie'!B62)</f>
        <v/>
      </c>
      <c r="E153" s="50"/>
      <c r="F153" s="50"/>
      <c r="G153" s="50"/>
      <c r="H153" s="50"/>
      <c r="I153" s="50"/>
      <c r="J153" s="50"/>
    </row>
    <row r="154" spans="1:10" ht="17.399999999999999" x14ac:dyDescent="0.3">
      <c r="A154" s="49"/>
      <c r="B154" s="138" t="str">
        <f>IF(OR('Reiskosten en presentie'!B63="afwezig",'Reiskosten en presentie'!B62="",'Reiskosten en presentie'!B62=""),"","Bankrekeningnummer:")</f>
        <v/>
      </c>
      <c r="C154" s="138"/>
      <c r="D154" s="47" t="str">
        <f>IF(OR('Reiskosten en presentie'!B63="afwezig",'Reiskosten en presentie'!B62="",'Reiskosten en presentie'!B62=""),"",'Reiskosten en presentie'!E63)</f>
        <v/>
      </c>
      <c r="E154" s="47" t="str">
        <f>IF(OR('Reiskosten en presentie'!B63="afwezig",'Reiskosten en presentie'!B62="",'Reiskosten en presentie'!B62=""),"",'Reiskosten en presentie'!F63)</f>
        <v/>
      </c>
      <c r="F154" s="47" t="str">
        <f>IF(OR('Reiskosten en presentie'!B63="afwezig",'Reiskosten en presentie'!B62="",'Reiskosten en presentie'!B62=""),"",'Reiskosten en presentie'!G63)</f>
        <v/>
      </c>
      <c r="G154" s="47" t="str">
        <f>IF(OR('Reiskosten en presentie'!B63="afwezig",'Reiskosten en presentie'!B62="",'Reiskosten en presentie'!B62=""),"",'Reiskosten en presentie'!H63)</f>
        <v/>
      </c>
      <c r="H154" s="47" t="str">
        <f>IF(OR('Reiskosten en presentie'!B63="afwezig",'Reiskosten en presentie'!B62="",'Reiskosten en presentie'!B62=""),"",'Reiskosten en presentie'!I63)</f>
        <v/>
      </c>
      <c r="I154" s="57" t="str">
        <f>IF(OR('Reiskosten en presentie'!B63="afwezig",'Reiskosten en presentie'!B62="",'Reiskosten en presentie'!B62=""),"","□")</f>
        <v/>
      </c>
      <c r="J154" s="1" t="str">
        <f>IF(OR('Reiskosten en presentie'!B63="afwezig",'Reiskosten en presentie'!B62="",'Reiskosten en presentie'!B62=""),"","controle")</f>
        <v/>
      </c>
    </row>
    <row r="155" spans="1:10" ht="15" x14ac:dyDescent="0.25">
      <c r="A155" s="50"/>
      <c r="B155" s="46" t="str">
        <f>IF(OR('Reiskosten en presentie'!B63="afwezig",'Reiskosten en presentie'!B62="",'Reiskosten en presentie'!B62=""),"","0001 Kantoorbehoeften")</f>
        <v/>
      </c>
      <c r="C155" s="50"/>
      <c r="D155" s="58" t="str">
        <f>IF(OR('Reiskosten en presentie'!B63="afwezig",'Reiskosten en presentie'!B62="",'Reiskosten en presentie'!B62=""),"",'Reiskosten en presentie'!F62+'Reiskosten en presentie'!K62)</f>
        <v/>
      </c>
      <c r="E155" s="47"/>
      <c r="F155" s="47"/>
      <c r="G155" s="47"/>
      <c r="H155" s="47"/>
      <c r="I155" s="50"/>
      <c r="J155" s="50"/>
    </row>
    <row r="156" spans="1:10" ht="15" x14ac:dyDescent="0.25">
      <c r="A156" s="50"/>
      <c r="B156" s="46" t="str">
        <f>IF(OR('Reiskosten en presentie'!B63="afwezig",'Reiskosten en presentie'!B62="",'Reiskosten en presentie'!B62=""),"","0008 Reiskosten")</f>
        <v/>
      </c>
      <c r="C156" s="50"/>
      <c r="D156" s="58" t="str">
        <f>IF(OR('Reiskosten en presentie'!B63="afwezig",'Reiskosten en presentie'!B62="",'Reiskosten en presentie'!B62=""),"",'Reiskosten en presentie'!J62)</f>
        <v/>
      </c>
      <c r="E156" s="47"/>
      <c r="F156" s="47"/>
      <c r="G156" s="47"/>
      <c r="H156" s="47"/>
      <c r="I156" s="50"/>
      <c r="J156" s="50"/>
    </row>
    <row r="158" spans="1:10" ht="15.6" x14ac:dyDescent="0.3">
      <c r="A158" s="53" t="str">
        <f>IF(OR('Reiskosten en presentie'!B65="afwezig",'Reiskosten en presentie'!B65="",'Reiskosten en presentie'!B64=""),"","31")</f>
        <v/>
      </c>
      <c r="B158" s="48" t="str">
        <f>IF(OR('Reiskosten en presentie'!B65="afwezig",'Reiskosten en presentie'!B65="",'Reiskosten en presentie'!B64=""),"","Naam:")</f>
        <v/>
      </c>
      <c r="D158" s="46" t="str">
        <f>IF(OR('Reiskosten en presentie'!B65="afwezig",'Reiskosten en presentie'!B65="",'Reiskosten en presentie'!B64=""),"",'Reiskosten en presentie'!B64)</f>
        <v/>
      </c>
      <c r="E158" s="46"/>
      <c r="F158" s="46"/>
      <c r="G158" s="46"/>
      <c r="H158" s="46"/>
    </row>
    <row r="159" spans="1:10" ht="17.399999999999999" x14ac:dyDescent="0.3">
      <c r="B159" s="78" t="str">
        <f>IF(OR('Reiskosten en presentie'!B65="afwezig",'Reiskosten en presentie'!B65="",'Reiskosten en presentie'!B64=""),"","Bankrekeningnummer:")</f>
        <v/>
      </c>
      <c r="C159" s="78"/>
      <c r="D159" s="47" t="str">
        <f>IF(OR('Reiskosten en presentie'!B65="afwezig",'Reiskosten en presentie'!B65="",'Reiskosten en presentie'!B64=""),"",'Reiskosten en presentie'!E65)</f>
        <v/>
      </c>
      <c r="E159" s="47" t="str">
        <f>IF(OR('Reiskosten en presentie'!B65="afwezig",'Reiskosten en presentie'!B65="",'Reiskosten en presentie'!B64=""),"",'Reiskosten en presentie'!F65)</f>
        <v/>
      </c>
      <c r="F159" s="47" t="str">
        <f>IF(OR('Reiskosten en presentie'!B65="afwezig",'Reiskosten en presentie'!B65="",'Reiskosten en presentie'!B64=""),"",'Reiskosten en presentie'!G65)</f>
        <v/>
      </c>
      <c r="G159" s="47" t="str">
        <f>IF(OR('Reiskosten en presentie'!B65="afwezig",'Reiskosten en presentie'!B65="",'Reiskosten en presentie'!B64=""),"",'Reiskosten en presentie'!H65)</f>
        <v/>
      </c>
      <c r="H159" s="47" t="str">
        <f>IF(OR('Reiskosten en presentie'!B65="afwezig",'Reiskosten en presentie'!B65="",'Reiskosten en presentie'!B64=""),"",'Reiskosten en presentie'!I65)</f>
        <v/>
      </c>
      <c r="I159" s="54" t="str">
        <f>IF(OR('Reiskosten en presentie'!B65="afwezig",'Reiskosten en presentie'!B65="",'Reiskosten en presentie'!B64=""),"","□")</f>
        <v/>
      </c>
      <c r="J159" s="1" t="str">
        <f>IF(OR('Reiskosten en presentie'!B65="afwezig",'Reiskosten en presentie'!B65="",'Reiskosten en presentie'!B64=""),"","controle")</f>
        <v/>
      </c>
    </row>
    <row r="160" spans="1:10" ht="15" x14ac:dyDescent="0.25">
      <c r="B160" s="46" t="str">
        <f>IF(OR('Reiskosten en presentie'!B65="afwezig",'Reiskosten en presentie'!B65="",'Reiskosten en presentie'!B64=""),"","0001 Kantoorbehoeften")</f>
        <v/>
      </c>
      <c r="D160" s="56" t="str">
        <f>IF(OR('Reiskosten en presentie'!B65="afwezig",'Reiskosten en presentie'!B65="",'Reiskosten en presentie'!B64=""),"",'Reiskosten en presentie'!F64+'Reiskosten en presentie'!K64)</f>
        <v/>
      </c>
    </row>
    <row r="161" spans="1:10" ht="15" x14ac:dyDescent="0.25">
      <c r="B161" s="46" t="str">
        <f>IF(OR('Reiskosten en presentie'!B65="afwezig",'Reiskosten en presentie'!B65="",'Reiskosten en presentie'!B64=""),"","0008 Reiskosten")</f>
        <v/>
      </c>
      <c r="D161" s="56" t="str">
        <f>IF(OR('Reiskosten en presentie'!B65="afwezig",'Reiskosten en presentie'!B65="",'Reiskosten en presentie'!B64=""),"",'Reiskosten en presentie'!J64)</f>
        <v/>
      </c>
    </row>
    <row r="163" spans="1:10" ht="15.6" x14ac:dyDescent="0.3">
      <c r="A163" s="49" t="str">
        <f>IF(OR('Reiskosten en presentie'!B67="afwezig",'Reiskosten en presentie'!B67="",'Reiskosten en presentie'!B66=""),"","32")</f>
        <v/>
      </c>
      <c r="B163" s="48" t="str">
        <f>IF(OR('Reiskosten en presentie'!B67="afwezig",'Reiskosten en presentie'!B67="",'Reiskosten en presentie'!B66=""),"","Naam:")</f>
        <v/>
      </c>
      <c r="C163" s="50"/>
      <c r="D163" s="50" t="str">
        <f>IF(OR('Reiskosten en presentie'!B67="afwezig",'Reiskosten en presentie'!B67="",'Reiskosten en presentie'!B66=""),"",'Reiskosten en presentie'!B66)</f>
        <v/>
      </c>
      <c r="E163" s="50"/>
      <c r="F163" s="50"/>
      <c r="G163" s="50"/>
      <c r="H163" s="50"/>
      <c r="I163" s="50"/>
      <c r="J163" s="50"/>
    </row>
    <row r="164" spans="1:10" ht="17.399999999999999" x14ac:dyDescent="0.3">
      <c r="A164" s="49"/>
      <c r="B164" s="138" t="str">
        <f>IF(OR('Reiskosten en presentie'!B67="afwezig",'Reiskosten en presentie'!B67="",'Reiskosten en presentie'!B66=""),"","Bankrekeningnummer:")</f>
        <v/>
      </c>
      <c r="C164" s="138"/>
      <c r="D164" s="47" t="str">
        <f>IF(OR('Reiskosten en presentie'!B67="afwezig",'Reiskosten en presentie'!B67="",'Reiskosten en presentie'!B66=""),"",'Reiskosten en presentie'!E67)</f>
        <v/>
      </c>
      <c r="E164" s="47" t="str">
        <f>IF(OR('Reiskosten en presentie'!B67="afwezig",'Reiskosten en presentie'!B67="",'Reiskosten en presentie'!B66=""),"",'Reiskosten en presentie'!F67)</f>
        <v/>
      </c>
      <c r="F164" s="47" t="str">
        <f>IF(OR('Reiskosten en presentie'!B67="afwezig",'Reiskosten en presentie'!B67="",'Reiskosten en presentie'!B66=""),"",'Reiskosten en presentie'!G67)</f>
        <v/>
      </c>
      <c r="G164" s="47" t="str">
        <f>IF(OR('Reiskosten en presentie'!B67="afwezig",'Reiskosten en presentie'!B67="",'Reiskosten en presentie'!B66=""),"",'Reiskosten en presentie'!H67)</f>
        <v/>
      </c>
      <c r="H164" s="47" t="str">
        <f>IF(OR('Reiskosten en presentie'!B67="afwezig",'Reiskosten en presentie'!B67="",'Reiskosten en presentie'!B66=""),"",'Reiskosten en presentie'!I67)</f>
        <v/>
      </c>
      <c r="I164" s="57" t="str">
        <f>IF(OR('Reiskosten en presentie'!B67="afwezig",'Reiskosten en presentie'!B67="",'Reiskosten en presentie'!B66=""),"","□")</f>
        <v/>
      </c>
      <c r="J164" s="1" t="str">
        <f>IF(OR('Reiskosten en presentie'!B67="afwezig",'Reiskosten en presentie'!B67="",'Reiskosten en presentie'!B66=""),"","controle")</f>
        <v/>
      </c>
    </row>
    <row r="165" spans="1:10" ht="15" x14ac:dyDescent="0.25">
      <c r="A165" s="50"/>
      <c r="B165" s="46" t="str">
        <f>IF(OR('Reiskosten en presentie'!B67="afwezig",'Reiskosten en presentie'!B67="",'Reiskosten en presentie'!B66=""),"","0001 Kantoorbehoeften")</f>
        <v/>
      </c>
      <c r="C165" s="50"/>
      <c r="D165" s="58" t="str">
        <f>IF(OR('Reiskosten en presentie'!B67="afwezig",'Reiskosten en presentie'!B67="",'Reiskosten en presentie'!B66=""),"",'Reiskosten en presentie'!F66+'Reiskosten en presentie'!K66)</f>
        <v/>
      </c>
      <c r="E165" s="47"/>
      <c r="F165" s="47"/>
      <c r="G165" s="47"/>
      <c r="H165" s="47"/>
      <c r="I165" s="50"/>
      <c r="J165" s="50"/>
    </row>
    <row r="166" spans="1:10" ht="15" x14ac:dyDescent="0.25">
      <c r="A166" s="50"/>
      <c r="B166" s="46" t="str">
        <f>IF(OR('Reiskosten en presentie'!B67="afwezig",'Reiskosten en presentie'!B67="",'Reiskosten en presentie'!B66=""),"","0008 Reiskosten")</f>
        <v/>
      </c>
      <c r="C166" s="50"/>
      <c r="D166" s="58" t="str">
        <f>IF(OR('Reiskosten en presentie'!B67="afwezig",'Reiskosten en presentie'!B67="",'Reiskosten en presentie'!B66=""),"",'Reiskosten en presentie'!J66)</f>
        <v/>
      </c>
      <c r="E166" s="47"/>
      <c r="F166" s="47"/>
      <c r="G166" s="47"/>
      <c r="H166" s="47"/>
      <c r="I166" s="50"/>
      <c r="J166" s="50"/>
    </row>
    <row r="168" spans="1:10" ht="15.6" x14ac:dyDescent="0.3">
      <c r="A168" s="49" t="str">
        <f>IF(OR('Reiskosten en presentie'!B69="afwezig",'Reiskosten en presentie'!B69="",'Reiskosten en presentie'!B68=""),"","33")</f>
        <v/>
      </c>
      <c r="B168" s="48" t="str">
        <f>IF(OR('Reiskosten en presentie'!B69="afwezig",'Reiskosten en presentie'!B69="",'Reiskosten en presentie'!B68=""),"","Naam:")</f>
        <v/>
      </c>
      <c r="C168" s="50"/>
      <c r="D168" s="50" t="str">
        <f>IF(OR('Reiskosten en presentie'!B69="afwezig",'Reiskosten en presentie'!B69="",'Reiskosten en presentie'!B68=""),"",'Reiskosten en presentie'!B68)</f>
        <v/>
      </c>
      <c r="E168" s="50"/>
      <c r="F168" s="50"/>
      <c r="G168" s="50"/>
      <c r="H168" s="50"/>
      <c r="I168" s="50"/>
      <c r="J168" s="50"/>
    </row>
    <row r="169" spans="1:10" ht="17.399999999999999" x14ac:dyDescent="0.3">
      <c r="A169" s="49"/>
      <c r="B169" s="138" t="str">
        <f>IF(OR('Reiskosten en presentie'!B69="afwezig",'Reiskosten en presentie'!B69="",'Reiskosten en presentie'!B68=""),"","Bankrekeningnummer:")</f>
        <v/>
      </c>
      <c r="C169" s="138"/>
      <c r="D169" s="47" t="str">
        <f>IF(OR('Reiskosten en presentie'!B69="afwezig",'Reiskosten en presentie'!B69="",'Reiskosten en presentie'!B68=""),"",'Reiskosten en presentie'!E69)</f>
        <v/>
      </c>
      <c r="E169" s="47" t="str">
        <f>IF(OR('Reiskosten en presentie'!B69="afwezig",'Reiskosten en presentie'!B69="",'Reiskosten en presentie'!B68=""),"",'Reiskosten en presentie'!F69)</f>
        <v/>
      </c>
      <c r="F169" s="47" t="str">
        <f>IF(OR('Reiskosten en presentie'!B69="afwezig",'Reiskosten en presentie'!B69="",'Reiskosten en presentie'!B68=""),"",'Reiskosten en presentie'!G69)</f>
        <v/>
      </c>
      <c r="G169" s="47" t="str">
        <f>IF(OR('Reiskosten en presentie'!B69="afwezig",'Reiskosten en presentie'!B69="",'Reiskosten en presentie'!B68=""),"",'Reiskosten en presentie'!H69)</f>
        <v/>
      </c>
      <c r="H169" s="47" t="str">
        <f>IF(OR('Reiskosten en presentie'!B69="afwezig",'Reiskosten en presentie'!B69="",'Reiskosten en presentie'!B68=""),"",'Reiskosten en presentie'!I69)</f>
        <v/>
      </c>
      <c r="I169" s="57" t="str">
        <f>IF(OR('Reiskosten en presentie'!B69="afwezig",'Reiskosten en presentie'!B69="",'Reiskosten en presentie'!B68=""),"","□")</f>
        <v/>
      </c>
      <c r="J169" s="1" t="str">
        <f>IF(OR('Reiskosten en presentie'!B69="afwezig",'Reiskosten en presentie'!B69="",'Reiskosten en presentie'!B68=""),"","controle")</f>
        <v/>
      </c>
    </row>
    <row r="170" spans="1:10" ht="15" x14ac:dyDescent="0.25">
      <c r="A170" s="50"/>
      <c r="B170" s="46" t="str">
        <f>IF(OR('Reiskosten en presentie'!B69="afwezig",'Reiskosten en presentie'!B69="",'Reiskosten en presentie'!B68=""),"","0001 Kantoorbehoeften")</f>
        <v/>
      </c>
      <c r="C170" s="50"/>
      <c r="D170" s="58" t="str">
        <f>IF(OR('Reiskosten en presentie'!B69="afwezig",'Reiskosten en presentie'!B69="",'Reiskosten en presentie'!B68=""),"",'Reiskosten en presentie'!F68+'Reiskosten en presentie'!K68)</f>
        <v/>
      </c>
      <c r="E170" s="47"/>
      <c r="F170" s="47"/>
      <c r="G170" s="47"/>
      <c r="H170" s="47"/>
      <c r="I170" s="50"/>
      <c r="J170" s="50"/>
    </row>
    <row r="171" spans="1:10" ht="15" x14ac:dyDescent="0.25">
      <c r="A171" s="50"/>
      <c r="B171" s="46" t="str">
        <f>IF(OR('Reiskosten en presentie'!B69="afwezig",'Reiskosten en presentie'!B69="",'Reiskosten en presentie'!B68=""),"","0008 Reiskosten")</f>
        <v/>
      </c>
      <c r="C171" s="50"/>
      <c r="D171" s="58" t="str">
        <f>IF(OR('Reiskosten en presentie'!B69="afwezig",'Reiskosten en presentie'!B69="",'Reiskosten en presentie'!B68=""),"",'Reiskosten en presentie'!J68)</f>
        <v/>
      </c>
      <c r="E171" s="47"/>
      <c r="F171" s="47"/>
      <c r="G171" s="47"/>
      <c r="H171" s="47"/>
      <c r="I171" s="50"/>
      <c r="J171" s="50"/>
    </row>
    <row r="173" spans="1:10" ht="15.6" x14ac:dyDescent="0.3">
      <c r="A173" s="53" t="str">
        <f>IF(OR('Reiskosten en presentie'!B71="afwezig",'Reiskosten en presentie'!B71="",'Reiskosten en presentie'!B70=""),"","34")</f>
        <v/>
      </c>
      <c r="B173" s="48" t="str">
        <f>IF(OR('Reiskosten en presentie'!B71="afwezig",'Reiskosten en presentie'!B71="",'Reiskosten en presentie'!B70=""),"","Naam:")</f>
        <v/>
      </c>
      <c r="D173" s="46" t="str">
        <f>IF(OR('Reiskosten en presentie'!B71="afwezig",'Reiskosten en presentie'!B71="",'Reiskosten en presentie'!B70=""),"",'Reiskosten en presentie'!B70)</f>
        <v/>
      </c>
      <c r="E173" s="46"/>
      <c r="F173" s="46"/>
      <c r="G173" s="46"/>
      <c r="H173" s="46"/>
    </row>
    <row r="174" spans="1:10" ht="17.399999999999999" x14ac:dyDescent="0.3">
      <c r="B174" s="78" t="str">
        <f>IF(OR('Reiskosten en presentie'!B71="afwezig",'Reiskosten en presentie'!B71="",'Reiskosten en presentie'!B70=""),"","Bankrekeningnummer:")</f>
        <v/>
      </c>
      <c r="C174" s="78"/>
      <c r="D174" s="47" t="str">
        <f>IF(OR('Reiskosten en presentie'!B71="afwezig",'Reiskosten en presentie'!B71="",'Reiskosten en presentie'!B70=""),"",'Reiskosten en presentie'!E71)</f>
        <v/>
      </c>
      <c r="E174" s="47" t="str">
        <f>IF(OR('Reiskosten en presentie'!B71="afwezig",'Reiskosten en presentie'!B71="",'Reiskosten en presentie'!B70=""),"",'Reiskosten en presentie'!F71)</f>
        <v/>
      </c>
      <c r="F174" s="47" t="str">
        <f>IF(OR('Reiskosten en presentie'!B71="afwezig",'Reiskosten en presentie'!B71="",'Reiskosten en presentie'!B70=""),"",'Reiskosten en presentie'!G71)</f>
        <v/>
      </c>
      <c r="G174" s="47" t="str">
        <f>IF(OR('Reiskosten en presentie'!B71="afwezig",'Reiskosten en presentie'!B71="",'Reiskosten en presentie'!B70=""),"",'Reiskosten en presentie'!H71)</f>
        <v/>
      </c>
      <c r="H174" s="47" t="str">
        <f>IF(OR('Reiskosten en presentie'!B71="afwezig",'Reiskosten en presentie'!B71="",'Reiskosten en presentie'!B70=""),"",'Reiskosten en presentie'!I71)</f>
        <v/>
      </c>
      <c r="I174" s="54" t="str">
        <f>IF(OR('Reiskosten en presentie'!B71="afwezig",'Reiskosten en presentie'!B71="",'Reiskosten en presentie'!B70=""),"","□")</f>
        <v/>
      </c>
      <c r="J174" s="1" t="str">
        <f>IF(OR('Reiskosten en presentie'!B71="afwezig",'Reiskosten en presentie'!B71="",'Reiskosten en presentie'!B70=""),"","controle")</f>
        <v/>
      </c>
    </row>
    <row r="175" spans="1:10" ht="15" x14ac:dyDescent="0.25">
      <c r="B175" s="46" t="str">
        <f>IF(OR('Reiskosten en presentie'!B71="afwezig",'Reiskosten en presentie'!B71="",'Reiskosten en presentie'!B70=""),"","0001 Kantoorbehoeften")</f>
        <v/>
      </c>
      <c r="D175" s="56" t="str">
        <f>IF(OR('Reiskosten en presentie'!B71="afwezig",'Reiskosten en presentie'!B71="",'Reiskosten en presentie'!B70=""),"",'Reiskosten en presentie'!F70+'Reiskosten en presentie'!K70)</f>
        <v/>
      </c>
    </row>
    <row r="176" spans="1:10" ht="15" x14ac:dyDescent="0.25">
      <c r="B176" s="46" t="str">
        <f>IF(OR('Reiskosten en presentie'!B71="afwezig",'Reiskosten en presentie'!B71="",'Reiskosten en presentie'!B70=""),"","0008 Reiskosten")</f>
        <v/>
      </c>
      <c r="D176" s="56" t="str">
        <f>IF(OR('Reiskosten en presentie'!B71="afwezig",'Reiskosten en presentie'!B71="",'Reiskosten en presentie'!B70=""),"",'Reiskosten en presentie'!J70)</f>
        <v/>
      </c>
    </row>
    <row r="178" spans="1:10" ht="15.6" x14ac:dyDescent="0.3">
      <c r="A178" s="49" t="str">
        <f>IF(OR('Reiskosten en presentie'!B73="afwezig",'Reiskosten en presentie'!B73="",'Reiskosten en presentie'!B72=""),"","35")</f>
        <v/>
      </c>
      <c r="B178" s="48" t="str">
        <f>IF(OR('Reiskosten en presentie'!B73="afwezig",'Reiskosten en presentie'!B73="",'Reiskosten en presentie'!B72=""),"","Naam:")</f>
        <v/>
      </c>
      <c r="C178" s="50"/>
      <c r="D178" s="50" t="str">
        <f>IF(OR('Reiskosten en presentie'!B172="afwezig",'Reiskosten en presentie'!B172="",'Reiskosten en presentie'!B171=""),"",'Reiskosten en presentie'!B171)</f>
        <v/>
      </c>
      <c r="E178" s="50"/>
      <c r="F178" s="50"/>
      <c r="G178" s="50"/>
      <c r="H178" s="50"/>
      <c r="I178" s="50"/>
      <c r="J178" s="50"/>
    </row>
    <row r="179" spans="1:10" ht="17.399999999999999" x14ac:dyDescent="0.3">
      <c r="A179" s="49"/>
      <c r="B179" s="138" t="str">
        <f>IF(OR('Reiskosten en presentie'!B73="afwezig",'Reiskosten en presentie'!B73="",'Reiskosten en presentie'!B72=""),"","Bankrekeningnummer:")</f>
        <v/>
      </c>
      <c r="C179" s="138"/>
      <c r="D179" s="47" t="str">
        <f>IF(OR('Reiskosten en presentie'!B73="afwezig",'Reiskosten en presentie'!B73="",'Reiskosten en presentie'!B72=""),"",'Reiskosten en presentie'!E73)</f>
        <v/>
      </c>
      <c r="E179" s="47" t="str">
        <f>IF(OR('Reiskosten en presentie'!B73="afwezig",'Reiskosten en presentie'!B73="",'Reiskosten en presentie'!B72=""),"",'Reiskosten en presentie'!F73)</f>
        <v/>
      </c>
      <c r="F179" s="47" t="str">
        <f>IF(OR('Reiskosten en presentie'!B73="afwezig",'Reiskosten en presentie'!B73="",'Reiskosten en presentie'!B72=""),"",'Reiskosten en presentie'!G73)</f>
        <v/>
      </c>
      <c r="G179" s="47" t="str">
        <f>IF(OR('Reiskosten en presentie'!B73="afwezig",'Reiskosten en presentie'!B73="",'Reiskosten en presentie'!B72=""),"",'Reiskosten en presentie'!H73)</f>
        <v/>
      </c>
      <c r="H179" s="47" t="str">
        <f>IF(OR('Reiskosten en presentie'!B73="afwezig",'Reiskosten en presentie'!B73="",'Reiskosten en presentie'!B72=""),"",'Reiskosten en presentie'!I73)</f>
        <v/>
      </c>
      <c r="I179" s="57" t="str">
        <f>IF(OR('Reiskosten en presentie'!B73="afwezig",'Reiskosten en presentie'!B73="",'Reiskosten en presentie'!B72=""),"","□")</f>
        <v/>
      </c>
      <c r="J179" s="1" t="str">
        <f>IF(OR('Reiskosten en presentie'!B73="afwezig",'Reiskosten en presentie'!B73="",'Reiskosten en presentie'!B72=""),"","controle")</f>
        <v/>
      </c>
    </row>
    <row r="180" spans="1:10" ht="15" x14ac:dyDescent="0.25">
      <c r="A180" s="50"/>
      <c r="B180" s="46" t="str">
        <f>IF(OR('Reiskosten en presentie'!B73="afwezig",'Reiskosten en presentie'!B73="",'Reiskosten en presentie'!B72=""),"","0001 Kantoorbehoeften")</f>
        <v/>
      </c>
      <c r="C180" s="50"/>
      <c r="D180" s="58" t="str">
        <f>IF(OR('Reiskosten en presentie'!B73="afwezig",'Reiskosten en presentie'!B73="",'Reiskosten en presentie'!B72=""),"",'Reiskosten en presentie'!F72+'Reiskosten en presentie'!K72)</f>
        <v/>
      </c>
      <c r="E180" s="47"/>
      <c r="F180" s="47"/>
      <c r="G180" s="47"/>
      <c r="H180" s="47"/>
      <c r="I180" s="50"/>
      <c r="J180" s="50"/>
    </row>
    <row r="181" spans="1:10" ht="15" x14ac:dyDescent="0.25">
      <c r="A181" s="50"/>
      <c r="B181" s="46" t="str">
        <f>IF(OR('Reiskosten en presentie'!B73="afwezig",'Reiskosten en presentie'!B73="",'Reiskosten en presentie'!B72=""),"","0008 Reiskosten")</f>
        <v/>
      </c>
      <c r="C181" s="50"/>
      <c r="D181" s="58" t="str">
        <f>IF(OR('Reiskosten en presentie'!B73="afwezig",'Reiskosten en presentie'!B73="",'Reiskosten en presentie'!B72=""),"",'Reiskosten en presentie'!J72)</f>
        <v/>
      </c>
      <c r="E181" s="47"/>
      <c r="F181" s="47"/>
      <c r="G181" s="47"/>
      <c r="H181" s="47"/>
      <c r="I181" s="50"/>
      <c r="J181" s="50"/>
    </row>
    <row r="183" spans="1:10" ht="15.6" x14ac:dyDescent="0.3">
      <c r="A183" s="49" t="str">
        <f>IF(OR('Reiskosten en presentie'!B75="afwezig",'Reiskosten en presentie'!B75="",'Reiskosten en presentie'!B74=""),"","36")</f>
        <v/>
      </c>
      <c r="B183" s="48" t="str">
        <f>IF(OR('Reiskosten en presentie'!B75="afwezig",'Reiskosten en presentie'!B75="",'Reiskosten en presentie'!B74=""),"","Naam:")</f>
        <v/>
      </c>
      <c r="C183" s="50"/>
      <c r="D183" s="50" t="str">
        <f>IF(OR('Reiskosten en presentie'!B75="afwezig",'Reiskosten en presentie'!B75="",'Reiskosten en presentie'!B74=""),"",'Reiskosten en presentie'!B74)</f>
        <v/>
      </c>
      <c r="E183" s="50"/>
      <c r="F183" s="50"/>
      <c r="G183" s="50"/>
      <c r="H183" s="50"/>
      <c r="I183" s="50"/>
      <c r="J183" s="50"/>
    </row>
    <row r="184" spans="1:10" ht="17.399999999999999" x14ac:dyDescent="0.3">
      <c r="A184" s="49"/>
      <c r="B184" s="138" t="str">
        <f>IF(OR('Reiskosten en presentie'!B75="afwezig",'Reiskosten en presentie'!B75="",'Reiskosten en presentie'!B74=""),"","Bankrekeningnummer:")</f>
        <v/>
      </c>
      <c r="C184" s="138"/>
      <c r="D184" s="47" t="str">
        <f>IF(OR('Reiskosten en presentie'!B75="afwezig",'Reiskosten en presentie'!B75="",'Reiskosten en presentie'!B74=""),"",'Reiskosten en presentie'!E75)</f>
        <v/>
      </c>
      <c r="E184" s="47" t="str">
        <f>IF(OR('Reiskosten en presentie'!B75="afwezig",'Reiskosten en presentie'!B75="",'Reiskosten en presentie'!B74=""),"",'Reiskosten en presentie'!F75)</f>
        <v/>
      </c>
      <c r="F184" s="47" t="str">
        <f>IF(OR('Reiskosten en presentie'!B75="afwezig",'Reiskosten en presentie'!B75="",'Reiskosten en presentie'!B74=""),"",'Reiskosten en presentie'!G75)</f>
        <v/>
      </c>
      <c r="G184" s="47" t="str">
        <f>IF(OR('Reiskosten en presentie'!B75="afwezig",'Reiskosten en presentie'!B75="",'Reiskosten en presentie'!B74=""),"",'Reiskosten en presentie'!H75)</f>
        <v/>
      </c>
      <c r="H184" s="47" t="str">
        <f>IF(OR('Reiskosten en presentie'!B75="afwezig",'Reiskosten en presentie'!B75="",'Reiskosten en presentie'!B74=""),"",'Reiskosten en presentie'!I75)</f>
        <v/>
      </c>
      <c r="I184" s="57" t="str">
        <f>IF(OR('Reiskosten en presentie'!B75="afwezig",'Reiskosten en presentie'!B75="",'Reiskosten en presentie'!B74=""),"","□")</f>
        <v/>
      </c>
      <c r="J184" s="1" t="str">
        <f>IF(OR('Reiskosten en presentie'!B75="afwezig",'Reiskosten en presentie'!B75="",'Reiskosten en presentie'!B74=""),"","controle")</f>
        <v/>
      </c>
    </row>
    <row r="185" spans="1:10" ht="15" x14ac:dyDescent="0.25">
      <c r="A185" s="50"/>
      <c r="B185" s="46" t="str">
        <f>IF(OR('Reiskosten en presentie'!B75="afwezig",'Reiskosten en presentie'!B75="",'Reiskosten en presentie'!B74=""),"","0001 Kantoorbehoeften")</f>
        <v/>
      </c>
      <c r="C185" s="50"/>
      <c r="D185" s="58" t="str">
        <f>IF(OR('Reiskosten en presentie'!B75="afwezig",'Reiskosten en presentie'!B75="",'Reiskosten en presentie'!B74=""),"",'Reiskosten en presentie'!F74+'Reiskosten en presentie'!K74)</f>
        <v/>
      </c>
      <c r="E185" s="47"/>
      <c r="F185" s="47"/>
      <c r="G185" s="47"/>
      <c r="H185" s="47"/>
      <c r="I185" s="50"/>
      <c r="J185" s="50"/>
    </row>
    <row r="186" spans="1:10" ht="15" x14ac:dyDescent="0.25">
      <c r="A186" s="50"/>
      <c r="B186" s="46" t="str">
        <f>IF(OR('Reiskosten en presentie'!B75="afwezig",'Reiskosten en presentie'!B75="",'Reiskosten en presentie'!B74=""),"","0008 Reiskosten")</f>
        <v/>
      </c>
      <c r="C186" s="50"/>
      <c r="D186" s="58" t="str">
        <f>IF(OR('Reiskosten en presentie'!B75="afwezig",'Reiskosten en presentie'!B75="",'Reiskosten en presentie'!B74=""),"",'Reiskosten en presentie'!J75)</f>
        <v/>
      </c>
      <c r="E186" s="47"/>
      <c r="F186" s="47"/>
      <c r="G186" s="47"/>
      <c r="H186" s="47"/>
      <c r="I186" s="50"/>
      <c r="J186" s="50"/>
    </row>
    <row r="188" spans="1:10" ht="15.6" x14ac:dyDescent="0.3">
      <c r="A188" s="53" t="str">
        <f>IF(OR('Reiskosten en presentie'!B77="afwezig",'Reiskosten en presentie'!B77="",'Reiskosten en presentie'!B76=""),"","37")</f>
        <v/>
      </c>
      <c r="B188" s="48" t="str">
        <f>IF(OR('Reiskosten en presentie'!B77="afwezig",'Reiskosten en presentie'!B77="",'Reiskosten en presentie'!B76=""),"","Naam:")</f>
        <v/>
      </c>
      <c r="D188" s="46" t="str">
        <f>IF(OR('Reiskosten en presentie'!B77="afwezig",'Reiskosten en presentie'!B77="",'Reiskosten en presentie'!B76=""),"",'Reiskosten en presentie'!B76)</f>
        <v/>
      </c>
      <c r="E188" s="46"/>
      <c r="F188" s="46"/>
      <c r="G188" s="46"/>
      <c r="H188" s="46"/>
    </row>
    <row r="189" spans="1:10" ht="17.399999999999999" x14ac:dyDescent="0.3">
      <c r="B189" s="78" t="str">
        <f>IF(OR('Reiskosten en presentie'!B77="afwezig",'Reiskosten en presentie'!B77="",'Reiskosten en presentie'!B76=""),"","Bankrekeningnummer:")</f>
        <v/>
      </c>
      <c r="C189" s="78"/>
      <c r="D189" s="47" t="str">
        <f>IF(OR('Reiskosten en presentie'!B77="afwezig",'Reiskosten en presentie'!B77="",'Reiskosten en presentie'!B76=""),"",'Reiskosten en presentie'!E77)</f>
        <v/>
      </c>
      <c r="E189" s="47" t="str">
        <f>IF(OR('Reiskosten en presentie'!B77="afwezig",'Reiskosten en presentie'!B77="",'Reiskosten en presentie'!B76=""),"",'Reiskosten en presentie'!F77)</f>
        <v/>
      </c>
      <c r="F189" s="47" t="str">
        <f>IF(OR('Reiskosten en presentie'!B77="afwezig",'Reiskosten en presentie'!B77="",'Reiskosten en presentie'!B76=""),"",'Reiskosten en presentie'!G77)</f>
        <v/>
      </c>
      <c r="G189" s="47" t="str">
        <f>IF(OR('Reiskosten en presentie'!B77="afwezig",'Reiskosten en presentie'!B77="",'Reiskosten en presentie'!B76=""),"",'Reiskosten en presentie'!H77)</f>
        <v/>
      </c>
      <c r="H189" s="47" t="str">
        <f>IF(OR('Reiskosten en presentie'!B77="afwezig",'Reiskosten en presentie'!B77="",'Reiskosten en presentie'!B76=""),"",'Reiskosten en presentie'!I77)</f>
        <v/>
      </c>
      <c r="I189" s="54" t="str">
        <f>IF(OR('Reiskosten en presentie'!B77="afwezig",'Reiskosten en presentie'!B77="",'Reiskosten en presentie'!B76=""),"","□")</f>
        <v/>
      </c>
      <c r="J189" s="1" t="str">
        <f>IF(OR('Reiskosten en presentie'!B77="afwezig",'Reiskosten en presentie'!B77="",'Reiskosten en presentie'!B76=""),"","controle")</f>
        <v/>
      </c>
    </row>
    <row r="190" spans="1:10" ht="15" x14ac:dyDescent="0.25">
      <c r="B190" s="46" t="str">
        <f>IF(OR('Reiskosten en presentie'!B77="afwezig",'Reiskosten en presentie'!B77="",'Reiskosten en presentie'!B76=""),"","0001 Kantoorbehoeften")</f>
        <v/>
      </c>
      <c r="D190" s="56" t="str">
        <f>IF(OR('Reiskosten en presentie'!B77="afwezig",'Reiskosten en presentie'!B77="",'Reiskosten en presentie'!B76=""),"",'Reiskosten en presentie'!F76+'Reiskosten en presentie'!K76)</f>
        <v/>
      </c>
    </row>
    <row r="191" spans="1:10" ht="15" x14ac:dyDescent="0.25">
      <c r="B191" s="46" t="str">
        <f>IF(OR('Reiskosten en presentie'!B77="afwezig",'Reiskosten en presentie'!B77="",'Reiskosten en presentie'!B76=""),"","0008 Reiskosten")</f>
        <v/>
      </c>
      <c r="D191" s="56" t="str">
        <f>IF(OR('Reiskosten en presentie'!B77="afwezig",'Reiskosten en presentie'!B77="",'Reiskosten en presentie'!B76=""),"",'Reiskosten en presentie'!J76)</f>
        <v/>
      </c>
    </row>
    <row r="193" spans="1:10" ht="15.6" x14ac:dyDescent="0.3">
      <c r="A193" s="49" t="str">
        <f>IF(OR('Reiskosten en presentie'!B79="afwezig",'Reiskosten en presentie'!B79="",'Reiskosten en presentie'!B78=""),"","38")</f>
        <v/>
      </c>
      <c r="B193" s="48" t="str">
        <f>IF(OR('Reiskosten en presentie'!B79="afwezig",'Reiskosten en presentie'!B79="",'Reiskosten en presentie'!B78=""),"","Naam:")</f>
        <v/>
      </c>
      <c r="C193" s="50"/>
      <c r="D193" s="50" t="str">
        <f>IF(OR('Reiskosten en presentie'!B79="afwezig",'Reiskosten en presentie'!B79="",'Reiskosten en presentie'!B78=""),"",'Reiskosten en presentie'!B78)</f>
        <v/>
      </c>
      <c r="E193" s="50"/>
      <c r="F193" s="50"/>
      <c r="G193" s="50"/>
      <c r="H193" s="50"/>
      <c r="I193" s="50"/>
      <c r="J193" s="50"/>
    </row>
    <row r="194" spans="1:10" ht="17.399999999999999" x14ac:dyDescent="0.3">
      <c r="A194" s="49"/>
      <c r="B194" s="138" t="str">
        <f>IF(OR('Reiskosten en presentie'!B79="afwezig",'Reiskosten en presentie'!B79="",'Reiskosten en presentie'!B78=""),"","Bankrekeningnummer:")</f>
        <v/>
      </c>
      <c r="C194" s="138"/>
      <c r="D194" s="47" t="str">
        <f>IF(OR('Reiskosten en presentie'!B79="afwezig",'Reiskosten en presentie'!B79="",'Reiskosten en presentie'!B78=""),"",'Reiskosten en presentie'!E79)</f>
        <v/>
      </c>
      <c r="E194" s="47" t="str">
        <f>IF(OR('Reiskosten en presentie'!B79="afwezig",'Reiskosten en presentie'!B79="",'Reiskosten en presentie'!B78=""),"",'Reiskosten en presentie'!F79)</f>
        <v/>
      </c>
      <c r="F194" s="47" t="str">
        <f>IF(OR('Reiskosten en presentie'!B79="afwezig",'Reiskosten en presentie'!B79="",'Reiskosten en presentie'!B78=""),"",'Reiskosten en presentie'!G79)</f>
        <v/>
      </c>
      <c r="G194" s="47" t="str">
        <f>IF(OR('Reiskosten en presentie'!B79="afwezig",'Reiskosten en presentie'!B79="",'Reiskosten en presentie'!B78=""),"",'Reiskosten en presentie'!H79)</f>
        <v/>
      </c>
      <c r="H194" s="47" t="str">
        <f>IF(OR('Reiskosten en presentie'!B79="afwezig",'Reiskosten en presentie'!B79="",'Reiskosten en presentie'!B78=""),"",'Reiskosten en presentie'!I79)</f>
        <v/>
      </c>
      <c r="I194" s="57" t="str">
        <f>IF(OR('Reiskosten en presentie'!B79="afwezig",'Reiskosten en presentie'!B79="",'Reiskosten en presentie'!B78=""),"","□")</f>
        <v/>
      </c>
      <c r="J194" s="1" t="str">
        <f>IF(OR('Reiskosten en presentie'!B79="afwezig",'Reiskosten en presentie'!B79="",'Reiskosten en presentie'!B78=""),"","controle")</f>
        <v/>
      </c>
    </row>
    <row r="195" spans="1:10" ht="15" x14ac:dyDescent="0.25">
      <c r="A195" s="50"/>
      <c r="B195" s="46" t="str">
        <f>IF(OR('Reiskosten en presentie'!B79="afwezig",'Reiskosten en presentie'!B79="",'Reiskosten en presentie'!B78=""),"","0001 Kantoorbehoeften")</f>
        <v/>
      </c>
      <c r="C195" s="50"/>
      <c r="D195" s="58" t="str">
        <f>IF(OR('Reiskosten en presentie'!B79="afwezig",'Reiskosten en presentie'!B79="",'Reiskosten en presentie'!B78=""),"",'Reiskosten en presentie'!F78+'Reiskosten en presentie'!K78)</f>
        <v/>
      </c>
      <c r="E195" s="47"/>
      <c r="F195" s="47"/>
      <c r="G195" s="47"/>
      <c r="H195" s="47"/>
      <c r="I195" s="50"/>
      <c r="J195" s="50"/>
    </row>
    <row r="196" spans="1:10" ht="15" x14ac:dyDescent="0.25">
      <c r="A196" s="50"/>
      <c r="B196" s="46" t="str">
        <f>IF(OR('Reiskosten en presentie'!B79="afwezig",'Reiskosten en presentie'!B79="",'Reiskosten en presentie'!B78=""),"","0008 Reiskosten")</f>
        <v/>
      </c>
      <c r="C196" s="50"/>
      <c r="D196" s="58" t="str">
        <f>IF(OR('Reiskosten en presentie'!B79="afwezig",'Reiskosten en presentie'!B79="",'Reiskosten en presentie'!B78=""),"",'Reiskosten en presentie'!J78)</f>
        <v/>
      </c>
      <c r="E196" s="47"/>
      <c r="F196" s="47"/>
      <c r="G196" s="47"/>
      <c r="H196" s="47"/>
      <c r="I196" s="50"/>
      <c r="J196" s="50"/>
    </row>
    <row r="198" spans="1:10" ht="15.6" x14ac:dyDescent="0.3">
      <c r="A198" s="49" t="str">
        <f>IF(OR('Reiskosten en presentie'!B81="afwezig",'Reiskosten en presentie'!B81="",'Reiskosten en presentie'!B80=""),"","39")</f>
        <v/>
      </c>
      <c r="B198" s="48" t="str">
        <f>IF(OR('Reiskosten en presentie'!B81="afwezig",'Reiskosten en presentie'!B81="",'Reiskosten en presentie'!B80=""),"","Naam:")</f>
        <v/>
      </c>
      <c r="C198" s="50"/>
      <c r="D198" s="50" t="str">
        <f>IF(OR('Reiskosten en presentie'!B81="afwezig",'Reiskosten en presentie'!B81="",'Reiskosten en presentie'!B80=""),"",'Reiskosten en presentie'!B80)</f>
        <v/>
      </c>
      <c r="E198" s="50"/>
      <c r="F198" s="50"/>
      <c r="G198" s="50"/>
      <c r="H198" s="50"/>
      <c r="I198" s="50"/>
      <c r="J198" s="50"/>
    </row>
    <row r="199" spans="1:10" ht="17.399999999999999" x14ac:dyDescent="0.3">
      <c r="A199" s="49"/>
      <c r="B199" s="138" t="str">
        <f>IF(OR('Reiskosten en presentie'!B81="afwezig",'Reiskosten en presentie'!B81="",'Reiskosten en presentie'!B80=""),"","Bankrekeningnummer:")</f>
        <v/>
      </c>
      <c r="C199" s="138"/>
      <c r="D199" s="47" t="str">
        <f>IF(OR('Reiskosten en presentie'!B81="afwezig",'Reiskosten en presentie'!B81="",'Reiskosten en presentie'!B80=""),"",'Reiskosten en presentie'!E81)</f>
        <v/>
      </c>
      <c r="E199" s="47" t="str">
        <f>IF(OR('Reiskosten en presentie'!B81="afwezig",'Reiskosten en presentie'!B81="",'Reiskosten en presentie'!B80=""),"",'Reiskosten en presentie'!F81)</f>
        <v/>
      </c>
      <c r="F199" s="47" t="str">
        <f>IF(OR('Reiskosten en presentie'!B81="afwezig",'Reiskosten en presentie'!B81="",'Reiskosten en presentie'!B80=""),"",'Reiskosten en presentie'!G81)</f>
        <v/>
      </c>
      <c r="G199" s="47" t="str">
        <f>IF(OR('Reiskosten en presentie'!B81="afwezig",'Reiskosten en presentie'!B81="",'Reiskosten en presentie'!B80=""),"",'Reiskosten en presentie'!H81)</f>
        <v/>
      </c>
      <c r="H199" s="47" t="str">
        <f>IF(OR('Reiskosten en presentie'!B81="afwezig",'Reiskosten en presentie'!B81="",'Reiskosten en presentie'!B80=""),"",'Reiskosten en presentie'!I81)</f>
        <v/>
      </c>
      <c r="I199" s="57" t="str">
        <f>IF(OR('Reiskosten en presentie'!B81="afwezig",'Reiskosten en presentie'!B81="",'Reiskosten en presentie'!B80=""),"","□")</f>
        <v/>
      </c>
      <c r="J199" s="1" t="str">
        <f>IF(OR('Reiskosten en presentie'!B81="afwezig",'Reiskosten en presentie'!B81="",'Reiskosten en presentie'!B80=""),"","controle")</f>
        <v/>
      </c>
    </row>
    <row r="200" spans="1:10" ht="15" x14ac:dyDescent="0.25">
      <c r="A200" s="50"/>
      <c r="B200" s="46" t="str">
        <f>IF(OR('Reiskosten en presentie'!B81="afwezig",'Reiskosten en presentie'!B81="",'Reiskosten en presentie'!B80=""),"","0001 Kantoorbehoeften")</f>
        <v/>
      </c>
      <c r="C200" s="50"/>
      <c r="D200" s="58" t="str">
        <f>IF(OR('Reiskosten en presentie'!B81="afwezig",'Reiskosten en presentie'!B81="",'Reiskosten en presentie'!B80=""),"",'Reiskosten en presentie'!F80+'Reiskosten en presentie'!K80)</f>
        <v/>
      </c>
      <c r="E200" s="47"/>
      <c r="F200" s="47"/>
      <c r="G200" s="47"/>
      <c r="H200" s="47"/>
      <c r="I200" s="50"/>
      <c r="J200" s="50"/>
    </row>
    <row r="201" spans="1:10" ht="15" x14ac:dyDescent="0.25">
      <c r="A201" s="50"/>
      <c r="B201" s="46" t="str">
        <f>IF(OR('Reiskosten en presentie'!B81="afwezig",'Reiskosten en presentie'!B81="",'Reiskosten en presentie'!B80=""),"","0008 Reiskosten")</f>
        <v/>
      </c>
      <c r="C201" s="50"/>
      <c r="D201" s="58" t="str">
        <f>IF(OR('Reiskosten en presentie'!B81="afwezig",'Reiskosten en presentie'!B81="",'Reiskosten en presentie'!B80=""),"",'Reiskosten en presentie'!J80)</f>
        <v/>
      </c>
      <c r="E201" s="47"/>
      <c r="F201" s="47"/>
      <c r="G201" s="47"/>
      <c r="H201" s="47"/>
      <c r="I201" s="50"/>
      <c r="J201" s="50"/>
    </row>
    <row r="203" spans="1:10" ht="15.6" x14ac:dyDescent="0.3">
      <c r="A203" s="53" t="str">
        <f>IF(OR('Reiskosten en presentie'!B83="afwezig",'Reiskosten en presentie'!B83="",'Reiskosten en presentie'!B82=""),"","40")</f>
        <v/>
      </c>
      <c r="B203" s="48" t="str">
        <f>IF(OR('Reiskosten en presentie'!B83="afwezig",'Reiskosten en presentie'!B83="",'Reiskosten en presentie'!B82=""),"","Naam:")</f>
        <v/>
      </c>
      <c r="D203" s="46" t="str">
        <f>IF(OR('Reiskosten en presentie'!B83="afwezig",'Reiskosten en presentie'!B83="",'Reiskosten en presentie'!B82=""),"",'Reiskosten en presentie'!B82)</f>
        <v/>
      </c>
      <c r="E203" s="46"/>
      <c r="F203" s="46"/>
      <c r="G203" s="46"/>
      <c r="H203" s="46"/>
    </row>
    <row r="204" spans="1:10" ht="17.399999999999999" x14ac:dyDescent="0.3">
      <c r="B204" s="78" t="str">
        <f>IF(OR('Reiskosten en presentie'!B83="afwezig",'Reiskosten en presentie'!B83="",'Reiskosten en presentie'!B82=""),"","Bankrekeningnummer:")</f>
        <v/>
      </c>
      <c r="C204" s="78"/>
      <c r="D204" s="47" t="str">
        <f>IF(OR('Reiskosten en presentie'!B83="afwezig",'Reiskosten en presentie'!B83="",'Reiskosten en presentie'!B82=""),"",'Reiskosten en presentie'!E83)</f>
        <v/>
      </c>
      <c r="E204" s="47" t="str">
        <f>IF(OR('Reiskosten en presentie'!B83="afwezig",'Reiskosten en presentie'!B83="",'Reiskosten en presentie'!B82=""),"",'Reiskosten en presentie'!F83)</f>
        <v/>
      </c>
      <c r="F204" s="47" t="str">
        <f>IF(OR('Reiskosten en presentie'!B83="afwezig",'Reiskosten en presentie'!B83="",'Reiskosten en presentie'!B82=""),"",'Reiskosten en presentie'!G83)</f>
        <v/>
      </c>
      <c r="G204" s="47" t="str">
        <f>IF(OR('Reiskosten en presentie'!B83="afwezig",'Reiskosten en presentie'!B83="",'Reiskosten en presentie'!B82=""),"",'Reiskosten en presentie'!H83)</f>
        <v/>
      </c>
      <c r="H204" s="47" t="str">
        <f>IF(OR('Reiskosten en presentie'!B83="afwezig",'Reiskosten en presentie'!B83="",'Reiskosten en presentie'!B82=""),"",'Reiskosten en presentie'!I83)</f>
        <v/>
      </c>
      <c r="I204" s="54" t="str">
        <f>IF(OR('Reiskosten en presentie'!B83="afwezig",'Reiskosten en presentie'!B83="",'Reiskosten en presentie'!B82=""),"","□")</f>
        <v/>
      </c>
      <c r="J204" s="1" t="str">
        <f>IF(OR('Reiskosten en presentie'!B83="afwezig",'Reiskosten en presentie'!B83="",'Reiskosten en presentie'!B82=""),"","controle")</f>
        <v/>
      </c>
    </row>
    <row r="205" spans="1:10" ht="15" x14ac:dyDescent="0.25">
      <c r="B205" s="46" t="str">
        <f>IF(OR('Reiskosten en presentie'!B83="afwezig",'Reiskosten en presentie'!B83="",'Reiskosten en presentie'!B82=""),"","0001 Kantoorbehoeften")</f>
        <v/>
      </c>
      <c r="D205" s="56" t="str">
        <f>IF(OR('Reiskosten en presentie'!B83="afwezig",'Reiskosten en presentie'!B83="",'Reiskosten en presentie'!B82=""),"",'Reiskosten en presentie'!F82+'Reiskosten en presentie'!K82)</f>
        <v/>
      </c>
    </row>
    <row r="206" spans="1:10" ht="15" x14ac:dyDescent="0.25">
      <c r="B206" s="46" t="str">
        <f>IF(OR('Reiskosten en presentie'!B83="afwezig",'Reiskosten en presentie'!B83="",'Reiskosten en presentie'!B82=""),"","0008 Reiskosten")</f>
        <v/>
      </c>
      <c r="D206" s="56" t="str">
        <f>IF(OR('Reiskosten en presentie'!B83="afwezig",'Reiskosten en presentie'!B83="",'Reiskosten en presentie'!B82=""),"",'Reiskosten en presentie'!J82)</f>
        <v/>
      </c>
    </row>
    <row r="208" spans="1:10" ht="15.6" x14ac:dyDescent="0.3">
      <c r="A208" s="49" t="str">
        <f>IF(OR('Reiskosten en presentie'!B85="afwezig",'Reiskosten en presentie'!B85="",'Reiskosten en presentie'!B84=""),"","41")</f>
        <v/>
      </c>
      <c r="B208" s="48" t="str">
        <f>IF(OR('Reiskosten en presentie'!B85="afwezig",'Reiskosten en presentie'!B85="",'Reiskosten en presentie'!B84=""),"","Naam:")</f>
        <v/>
      </c>
      <c r="C208" s="50"/>
      <c r="D208" s="50" t="str">
        <f>IF(OR('Reiskosten en presentie'!B85="afwezig",'Reiskosten en presentie'!B85="",'Reiskosten en presentie'!B84=""),"",'Reiskosten en presentie'!B84)</f>
        <v/>
      </c>
      <c r="E208" s="50"/>
      <c r="F208" s="50"/>
      <c r="G208" s="50"/>
      <c r="H208" s="50"/>
      <c r="I208" s="50"/>
      <c r="J208" s="50"/>
    </row>
    <row r="209" spans="1:10" ht="17.399999999999999" x14ac:dyDescent="0.3">
      <c r="A209" s="49"/>
      <c r="B209" s="138" t="str">
        <f>IF(OR('Reiskosten en presentie'!B85="afwezig",'Reiskosten en presentie'!B85="",'Reiskosten en presentie'!B84=""),"","Bankrekeningnummer:")</f>
        <v/>
      </c>
      <c r="C209" s="138"/>
      <c r="D209" s="47" t="str">
        <f>IF(OR('Reiskosten en presentie'!B85="afwezig",'Reiskosten en presentie'!B85="",'Reiskosten en presentie'!B84=""),"",'Reiskosten en presentie'!E85)</f>
        <v/>
      </c>
      <c r="E209" s="47" t="str">
        <f>IF(OR('Reiskosten en presentie'!B85="afwezig",'Reiskosten en presentie'!B85="",'Reiskosten en presentie'!B84=""),"",'Reiskosten en presentie'!F85)</f>
        <v/>
      </c>
      <c r="F209" s="47" t="str">
        <f>IF(OR('Reiskosten en presentie'!B85="afwezig",'Reiskosten en presentie'!B85="",'Reiskosten en presentie'!B84=""),"",'Reiskosten en presentie'!G85)</f>
        <v/>
      </c>
      <c r="G209" s="47" t="str">
        <f>IF(OR('Reiskosten en presentie'!B85="afwezig",'Reiskosten en presentie'!B85="",'Reiskosten en presentie'!B84=""),"",'Reiskosten en presentie'!H85)</f>
        <v/>
      </c>
      <c r="H209" s="47" t="str">
        <f>IF(OR('Reiskosten en presentie'!B85="afwezig",'Reiskosten en presentie'!B85="",'Reiskosten en presentie'!B84=""),"",'Reiskosten en presentie'!I85)</f>
        <v/>
      </c>
      <c r="I209" s="57" t="str">
        <f>IF(OR('Reiskosten en presentie'!B202="afwezig",'Reiskosten en presentie'!B202="",'Reiskosten en presentie'!B201=""),"","□")</f>
        <v/>
      </c>
      <c r="J209" s="1" t="str">
        <f>IF(OR('Reiskosten en presentie'!B202="afwezig",'Reiskosten en presentie'!B202="",'Reiskosten en presentie'!B201=0),"","controle")</f>
        <v/>
      </c>
    </row>
    <row r="210" spans="1:10" ht="15" x14ac:dyDescent="0.25">
      <c r="A210" s="50"/>
      <c r="B210" s="46" t="str">
        <f>IF(OR('Reiskosten en presentie'!B85="afwezig",'Reiskosten en presentie'!B85="",'Reiskosten en presentie'!B84=""),"","0001 Kantoorbehoeften")</f>
        <v/>
      </c>
      <c r="C210" s="50"/>
      <c r="D210" s="58" t="str">
        <f>IF(OR('Reiskosten en presentie'!B85="afwezig",'Reiskosten en presentie'!B85="",'Reiskosten en presentie'!B84=""),"",'Reiskosten en presentie'!F84+'Reiskosten en presentie'!K84)</f>
        <v/>
      </c>
      <c r="E210" s="47"/>
      <c r="F210" s="47"/>
      <c r="G210" s="47"/>
      <c r="H210" s="47"/>
      <c r="I210" s="50"/>
      <c r="J210" s="50"/>
    </row>
    <row r="211" spans="1:10" ht="15" x14ac:dyDescent="0.25">
      <c r="A211" s="50"/>
      <c r="B211" s="46" t="str">
        <f>IF(OR('Reiskosten en presentie'!B85="afwezig",'Reiskosten en presentie'!B85="",'Reiskosten en presentie'!B84=""),"","0008 Reiskosten")</f>
        <v/>
      </c>
      <c r="C211" s="50"/>
      <c r="D211" s="58" t="str">
        <f>IF(OR('Reiskosten en presentie'!B85="afwezig",'Reiskosten en presentie'!B85="",'Reiskosten en presentie'!B84=""),"",'Reiskosten en presentie'!J84)</f>
        <v/>
      </c>
      <c r="E211" s="47"/>
      <c r="F211" s="47"/>
      <c r="G211" s="47"/>
      <c r="H211" s="47"/>
      <c r="I211" s="50"/>
      <c r="J211" s="50"/>
    </row>
    <row r="213" spans="1:10" ht="15.6" x14ac:dyDescent="0.3">
      <c r="A213" s="49" t="str">
        <f>IF(OR('Reiskosten en presentie'!B87="afwezig",'Reiskosten en presentie'!B87="",'Reiskosten en presentie'!B86=""),"","42")</f>
        <v/>
      </c>
      <c r="B213" s="48" t="str">
        <f>IF(OR('Reiskosten en presentie'!B87="afwezig",'Reiskosten en presentie'!B87="",'Reiskosten en presentie'!B86=""),"","Naam:")</f>
        <v/>
      </c>
      <c r="C213" s="50"/>
      <c r="D213" s="50" t="str">
        <f>IF(OR('Reiskosten en presentie'!B87="afwezig",'Reiskosten en presentie'!B87="",'Reiskosten en presentie'!B86=""),"",'Reiskosten en presentie'!B86)</f>
        <v/>
      </c>
      <c r="E213" s="50"/>
      <c r="F213" s="50"/>
      <c r="G213" s="50"/>
      <c r="H213" s="50"/>
      <c r="I213" s="50"/>
      <c r="J213" s="50"/>
    </row>
    <row r="214" spans="1:10" ht="17.399999999999999" x14ac:dyDescent="0.3">
      <c r="A214" s="49"/>
      <c r="B214" s="138" t="str">
        <f>IF(OR('Reiskosten en presentie'!B87="afwezig",'Reiskosten en presentie'!B87="",'Reiskosten en presentie'!B86=""),"","Bankrekeningnummer:")</f>
        <v/>
      </c>
      <c r="C214" s="138"/>
      <c r="D214" s="47" t="str">
        <f>IF(OR('Reiskosten en presentie'!B87="afwezig",'Reiskosten en presentie'!B87="",'Reiskosten en presentie'!B86=""),"",'Reiskosten en presentie'!E87)</f>
        <v/>
      </c>
      <c r="E214" s="47" t="str">
        <f>IF(OR('Reiskosten en presentie'!B87="afwezig",'Reiskosten en presentie'!B87="",'Reiskosten en presentie'!B86=""),"",'Reiskosten en presentie'!F87)</f>
        <v/>
      </c>
      <c r="F214" s="47" t="str">
        <f>IF(OR('Reiskosten en presentie'!B87="afwezig",'Reiskosten en presentie'!B87="",'Reiskosten en presentie'!B86=""),"",'Reiskosten en presentie'!G87)</f>
        <v/>
      </c>
      <c r="G214" s="47" t="str">
        <f>IF(OR('Reiskosten en presentie'!B87="afwezig",'Reiskosten en presentie'!B87="",'Reiskosten en presentie'!B86=""),"",'Reiskosten en presentie'!H87)</f>
        <v/>
      </c>
      <c r="H214" s="47" t="str">
        <f>IF(OR('Reiskosten en presentie'!B87="afwezig",'Reiskosten en presentie'!B87="",'Reiskosten en presentie'!B86=""),"",'Reiskosten en presentie'!I87)</f>
        <v/>
      </c>
      <c r="I214" s="57" t="str">
        <f>IF(OR('Reiskosten en presentie'!B87="afwezig",'Reiskosten en presentie'!B87="",'Reiskosten en presentie'!B86=""),"","□")</f>
        <v/>
      </c>
      <c r="J214" s="1" t="str">
        <f>IF(OR('Reiskosten en presentie'!B87="afwezig",'Reiskosten en presentie'!B87="",'Reiskosten en presentie'!B86=""),"","controle")</f>
        <v/>
      </c>
    </row>
    <row r="215" spans="1:10" ht="15" x14ac:dyDescent="0.25">
      <c r="A215" s="50"/>
      <c r="B215" s="46" t="str">
        <f>IF(OR('Reiskosten en presentie'!B87="afwezig",'Reiskosten en presentie'!B87="",'Reiskosten en presentie'!B86=""),"","0001 Kantoorbehoeften")</f>
        <v/>
      </c>
      <c r="C215" s="50"/>
      <c r="D215" s="58" t="str">
        <f>IF(OR('Reiskosten en presentie'!B87="afwezig",'Reiskosten en presentie'!B87="",'Reiskosten en presentie'!B86=""),"",'Reiskosten en presentie'!F86+'Reiskosten en presentie'!K86)</f>
        <v/>
      </c>
      <c r="E215" s="47"/>
      <c r="F215" s="47"/>
      <c r="G215" s="47"/>
      <c r="H215" s="47"/>
      <c r="I215" s="50"/>
      <c r="J215" s="50"/>
    </row>
    <row r="216" spans="1:10" ht="15" x14ac:dyDescent="0.25">
      <c r="A216" s="50"/>
      <c r="B216" s="46" t="str">
        <f>IF(OR('Reiskosten en presentie'!B87="afwezig",'Reiskosten en presentie'!B87="",'Reiskosten en presentie'!B86=""),"","0008 Reiskosten")</f>
        <v/>
      </c>
      <c r="C216" s="50"/>
      <c r="D216" s="58" t="str">
        <f>IF(OR('Reiskosten en presentie'!B87="afwezig",'Reiskosten en presentie'!B87="",'Reiskosten en presentie'!B86=""),"",'Reiskosten en presentie'!J86)</f>
        <v/>
      </c>
      <c r="E216" s="47"/>
      <c r="F216" s="47"/>
      <c r="G216" s="47"/>
      <c r="H216" s="47"/>
      <c r="I216" s="50"/>
      <c r="J216" s="50"/>
    </row>
    <row r="218" spans="1:10" ht="15.6" x14ac:dyDescent="0.3">
      <c r="A218" s="53" t="str">
        <f>IF(OR('Reiskosten en presentie'!B89="afwezig",'Reiskosten en presentie'!B89="",'Reiskosten en presentie'!B88=""),"","43")</f>
        <v/>
      </c>
      <c r="B218" s="48" t="str">
        <f>IF(OR('Reiskosten en presentie'!B89="afwezig",'Reiskosten en presentie'!B89="",'Reiskosten en presentie'!B88=""),"","Naam:")</f>
        <v/>
      </c>
      <c r="D218" s="46" t="str">
        <f>IF(OR('Reiskosten en presentie'!B89="afwezig",'Reiskosten en presentie'!B89="",'Reiskosten en presentie'!B88=""),"",'Reiskosten en presentie'!B88)</f>
        <v/>
      </c>
      <c r="E218" s="46"/>
      <c r="F218" s="46"/>
      <c r="G218" s="46"/>
      <c r="H218" s="46"/>
    </row>
    <row r="219" spans="1:10" ht="17.399999999999999" x14ac:dyDescent="0.3">
      <c r="B219" s="78" t="str">
        <f>IF(OR('Reiskosten en presentie'!B89="afwezig",'Reiskosten en presentie'!B89="",'Reiskosten en presentie'!B88=""),"","Bankrekeningnummer:")</f>
        <v/>
      </c>
      <c r="C219" s="78"/>
      <c r="D219" s="47" t="str">
        <f>IF(OR('Reiskosten en presentie'!B89="afwezig",'Reiskosten en presentie'!B89="",'Reiskosten en presentie'!B88=""),"",'Reiskosten en presentie'!E89)</f>
        <v/>
      </c>
      <c r="E219" s="47" t="str">
        <f>IF(OR('Reiskosten en presentie'!B89="afwezig",'Reiskosten en presentie'!B89="",'Reiskosten en presentie'!B88=""),"",'Reiskosten en presentie'!F89)</f>
        <v/>
      </c>
      <c r="F219" s="47" t="str">
        <f>IF(OR('Reiskosten en presentie'!B89="afwezig",'Reiskosten en presentie'!B89="",'Reiskosten en presentie'!B88=""),"",'Reiskosten en presentie'!G89)</f>
        <v/>
      </c>
      <c r="G219" s="47" t="str">
        <f>IF(OR('Reiskosten en presentie'!B89="afwezig",'Reiskosten en presentie'!B89="",'Reiskosten en presentie'!B88=""),"",'Reiskosten en presentie'!H89)</f>
        <v/>
      </c>
      <c r="H219" s="47" t="str">
        <f>IF(OR('Reiskosten en presentie'!B89="afwezig",'Reiskosten en presentie'!B89="",'Reiskosten en presentie'!B88=""),"",'Reiskosten en presentie'!I89)</f>
        <v/>
      </c>
      <c r="I219" s="54" t="str">
        <f>IF(OR('Reiskosten en presentie'!B89="afwezig",'Reiskosten en presentie'!B89="",'Reiskosten en presentie'!B88=""),"","□")</f>
        <v/>
      </c>
      <c r="J219" s="1" t="str">
        <f>IF(OR('Reiskosten en presentie'!B89="afwezig",'Reiskosten en presentie'!B89="",'Reiskosten en presentie'!B88=""),"","controle")</f>
        <v/>
      </c>
    </row>
    <row r="220" spans="1:10" ht="15" x14ac:dyDescent="0.25">
      <c r="B220" s="46" t="str">
        <f>IF(OR('Reiskosten en presentie'!B89="afwezig",'Reiskosten en presentie'!B89="",'Reiskosten en presentie'!B88=""),"","0001 Kantoorbehoeften")</f>
        <v/>
      </c>
      <c r="D220" s="56" t="str">
        <f>IF(OR('Reiskosten en presentie'!B89="afwezig",'Reiskosten en presentie'!B89="",'Reiskosten en presentie'!B88=""),"",'Reiskosten en presentie'!F88+'Reiskosten en presentie'!K88)</f>
        <v/>
      </c>
    </row>
    <row r="221" spans="1:10" ht="15" x14ac:dyDescent="0.25">
      <c r="B221" s="46" t="str">
        <f>IF(OR('Reiskosten en presentie'!B89="afwezig",'Reiskosten en presentie'!B89="",'Reiskosten en presentie'!B88=""),"","0008 Reiskosten")</f>
        <v/>
      </c>
      <c r="D221" s="56" t="str">
        <f>IF(OR('Reiskosten en presentie'!B89="afwezig",'Reiskosten en presentie'!B89="",'Reiskosten en presentie'!B88=""),"",'Reiskosten en presentie'!J88)</f>
        <v/>
      </c>
    </row>
    <row r="223" spans="1:10" ht="15.6" x14ac:dyDescent="0.3">
      <c r="A223" s="49" t="str">
        <f>IF(OR('Reiskosten en presentie'!B91="afwezig",'Reiskosten en presentie'!B91="",'Reiskosten en presentie'!B90=""),"","44")</f>
        <v/>
      </c>
      <c r="B223" s="48" t="str">
        <f>IF(OR('Reiskosten en presentie'!B91="afwezig",'Reiskosten en presentie'!B91="",'Reiskosten en presentie'!B90=""),"","Naam:")</f>
        <v/>
      </c>
      <c r="C223" s="50"/>
      <c r="D223" s="50" t="str">
        <f>IF(OR('Reiskosten en presentie'!B91="afwezig",'Reiskosten en presentie'!B91="",'Reiskosten en presentie'!B90=""),"",'Reiskosten en presentie'!B90)</f>
        <v/>
      </c>
      <c r="E223" s="50"/>
      <c r="F223" s="50"/>
      <c r="G223" s="50"/>
      <c r="H223" s="50"/>
      <c r="I223" s="50"/>
      <c r="J223" s="50"/>
    </row>
    <row r="224" spans="1:10" ht="17.399999999999999" x14ac:dyDescent="0.3">
      <c r="A224" s="49"/>
      <c r="B224" s="138" t="str">
        <f>IF(OR('Reiskosten en presentie'!B91="afwezig",'Reiskosten en presentie'!B91="",'Reiskosten en presentie'!B90=""),"","Bankrekeningnummer:")</f>
        <v/>
      </c>
      <c r="C224" s="138"/>
      <c r="D224" s="47" t="str">
        <f>IF(OR('Reiskosten en presentie'!B91="afwezig",'Reiskosten en presentie'!B91="",'Reiskosten en presentie'!B90=""),"",'Reiskosten en presentie'!E91)</f>
        <v/>
      </c>
      <c r="E224" s="47" t="str">
        <f>IF(OR('Reiskosten en presentie'!B91="afwezig",'Reiskosten en presentie'!B91="",'Reiskosten en presentie'!B90=""),"",'Reiskosten en presentie'!F91)</f>
        <v/>
      </c>
      <c r="F224" s="47" t="str">
        <f>IF(OR('Reiskosten en presentie'!B91="afwezig",'Reiskosten en presentie'!B91="",'Reiskosten en presentie'!B90=""),"",'Reiskosten en presentie'!G91)</f>
        <v/>
      </c>
      <c r="G224" s="47" t="str">
        <f>IF(OR('Reiskosten en presentie'!B91="afwezig",'Reiskosten en presentie'!B91="",'Reiskosten en presentie'!B90=""),"",'Reiskosten en presentie'!H91)</f>
        <v/>
      </c>
      <c r="H224" s="47" t="str">
        <f>IF(OR('Reiskosten en presentie'!B91="afwezig",'Reiskosten en presentie'!B91="",'Reiskosten en presentie'!B90=""),"",'Reiskosten en presentie'!I91)</f>
        <v/>
      </c>
      <c r="I224" s="57" t="str">
        <f>IF(OR('Reiskosten en presentie'!B91="afwezig",'Reiskosten en presentie'!B91="",'Reiskosten en presentie'!B90=""),"","□")</f>
        <v/>
      </c>
      <c r="J224" s="1" t="str">
        <f>IF(OR('Reiskosten en presentie'!B91="afwezig",'Reiskosten en presentie'!B91="",'Reiskosten en presentie'!B90=""),"","controle")</f>
        <v/>
      </c>
    </row>
    <row r="225" spans="1:10" ht="15" x14ac:dyDescent="0.25">
      <c r="A225" s="50"/>
      <c r="B225" s="46" t="str">
        <f>IF(OR('Reiskosten en presentie'!B91="afwezig",'Reiskosten en presentie'!B91="",'Reiskosten en presentie'!B90=""),"","0001 Kantoorbehoeften")</f>
        <v/>
      </c>
      <c r="C225" s="50"/>
      <c r="D225" s="58" t="str">
        <f>IF(OR('Reiskosten en presentie'!B91="afwezig",'Reiskosten en presentie'!B91="",'Reiskosten en presentie'!B90=""),"",'Reiskosten en presentie'!F90+'Reiskosten en presentie'!K90)</f>
        <v/>
      </c>
      <c r="E225" s="47"/>
      <c r="F225" s="47"/>
      <c r="G225" s="47"/>
      <c r="H225" s="47"/>
      <c r="I225" s="50"/>
      <c r="J225" s="50"/>
    </row>
    <row r="226" spans="1:10" ht="15" x14ac:dyDescent="0.25">
      <c r="A226" s="50"/>
      <c r="B226" s="46" t="str">
        <f>IF(OR('Reiskosten en presentie'!B91="afwezig",'Reiskosten en presentie'!B91="",'Reiskosten en presentie'!B90=""),"","0008 Reiskosten")</f>
        <v/>
      </c>
      <c r="C226" s="50"/>
      <c r="D226" s="58" t="str">
        <f>IF(OR('Reiskosten en presentie'!B91="afwezig",'Reiskosten en presentie'!B91="",'Reiskosten en presentie'!B90=""),"",'Reiskosten en presentie'!J90)</f>
        <v/>
      </c>
      <c r="E226" s="47"/>
      <c r="F226" s="47"/>
      <c r="G226" s="47"/>
      <c r="H226" s="47"/>
      <c r="I226" s="50"/>
      <c r="J226" s="50"/>
    </row>
    <row r="228" spans="1:10" ht="15.6" x14ac:dyDescent="0.3">
      <c r="A228" s="49" t="str">
        <f>IF(OR('Reiskosten en presentie'!B93="afwezig",'Reiskosten en presentie'!B93="",'Reiskosten en presentie'!B92=""),"","45")</f>
        <v/>
      </c>
      <c r="B228" s="48" t="str">
        <f>IF(OR('Reiskosten en presentie'!B93="afwezig",'Reiskosten en presentie'!B93="",'Reiskosten en presentie'!B92=""),"","Naam:")</f>
        <v/>
      </c>
      <c r="C228" s="50"/>
      <c r="D228" s="50" t="str">
        <f>IF(OR('Reiskosten en presentie'!B93="afwezig",'Reiskosten en presentie'!B93="",'Reiskosten en presentie'!B92=""),"",'Reiskosten en presentie'!B92)</f>
        <v/>
      </c>
      <c r="E228" s="50"/>
      <c r="F228" s="50"/>
      <c r="G228" s="50"/>
      <c r="H228" s="50"/>
      <c r="I228" s="50"/>
      <c r="J228" s="50"/>
    </row>
    <row r="229" spans="1:10" ht="17.399999999999999" x14ac:dyDescent="0.3">
      <c r="A229" s="49"/>
      <c r="B229" s="138" t="str">
        <f>IF(OR('Reiskosten en presentie'!B93="afwezig",'Reiskosten en presentie'!B93="",'Reiskosten en presentie'!B92=""),"","Bankrekeningnummer:")</f>
        <v/>
      </c>
      <c r="C229" s="138"/>
      <c r="D229" s="47" t="str">
        <f>IF(OR('Reiskosten en presentie'!B93="afwezig",'Reiskosten en presentie'!B93="",'Reiskosten en presentie'!B92=""),"",'Reiskosten en presentie'!E93)</f>
        <v/>
      </c>
      <c r="E229" s="47" t="str">
        <f>IF(OR('Reiskosten en presentie'!B93="afwezig",'Reiskosten en presentie'!B93="",'Reiskosten en presentie'!B92=""),"",'Reiskosten en presentie'!F93)</f>
        <v/>
      </c>
      <c r="F229" s="47" t="str">
        <f>IF(OR('Reiskosten en presentie'!B93="afwezig",'Reiskosten en presentie'!B93="",'Reiskosten en presentie'!B92=""),"",'Reiskosten en presentie'!G93)</f>
        <v/>
      </c>
      <c r="G229" s="47" t="str">
        <f>IF(OR('Reiskosten en presentie'!B93="afwezig",'Reiskosten en presentie'!B93="",'Reiskosten en presentie'!B92=""),"",'Reiskosten en presentie'!H93)</f>
        <v/>
      </c>
      <c r="H229" s="47" t="str">
        <f>IF(OR('Reiskosten en presentie'!B93="afwezig",'Reiskosten en presentie'!B93="",'Reiskosten en presentie'!B92=""),"",'Reiskosten en presentie'!I93)</f>
        <v/>
      </c>
      <c r="I229" s="57" t="str">
        <f>IF(OR('Reiskosten en presentie'!B93="afwezig",'Reiskosten en presentie'!B93="",'Reiskosten en presentie'!B92=""),"","□")</f>
        <v/>
      </c>
      <c r="J229" s="1" t="str">
        <f>IF(OR('Reiskosten en presentie'!B93="afwezig",'Reiskosten en presentie'!B93="",'Reiskosten en presentie'!B92=""),"","controle")</f>
        <v/>
      </c>
    </row>
    <row r="230" spans="1:10" ht="15" x14ac:dyDescent="0.25">
      <c r="A230" s="50"/>
      <c r="B230" s="46" t="str">
        <f>IF(OR('Reiskosten en presentie'!B93="afwezig",'Reiskosten en presentie'!B93="",'Reiskosten en presentie'!B92=""),"","0001 Kantoorbehoeften")</f>
        <v/>
      </c>
      <c r="C230" s="50"/>
      <c r="D230" s="58" t="str">
        <f>IF(OR('Reiskosten en presentie'!B93="afwezig",'Reiskosten en presentie'!B93="",'Reiskosten en presentie'!B92=""),"",'Reiskosten en presentie'!F92+'Reiskosten en presentie'!K92)</f>
        <v/>
      </c>
      <c r="E230" s="47"/>
      <c r="F230" s="47"/>
      <c r="G230" s="47"/>
      <c r="H230" s="47"/>
      <c r="I230" s="50"/>
      <c r="J230" s="50"/>
    </row>
    <row r="231" spans="1:10" ht="15" x14ac:dyDescent="0.25">
      <c r="A231" s="50"/>
      <c r="B231" s="46" t="str">
        <f>IF(OR('Reiskosten en presentie'!B93="afwezig",'Reiskosten en presentie'!B93="",'Reiskosten en presentie'!B92=""),"","0008 Reiskosten")</f>
        <v/>
      </c>
      <c r="C231" s="50"/>
      <c r="D231" s="58" t="str">
        <f>IF(OR('Reiskosten en presentie'!B93="afwezig",'Reiskosten en presentie'!B93="",'Reiskosten en presentie'!B92=""),"",'Reiskosten en presentie'!J92)</f>
        <v/>
      </c>
      <c r="E231" s="47"/>
      <c r="F231" s="47"/>
      <c r="G231" s="47"/>
      <c r="H231" s="47"/>
      <c r="I231" s="50"/>
      <c r="J231" s="50"/>
    </row>
    <row r="233" spans="1:10" ht="15.6" x14ac:dyDescent="0.3">
      <c r="A233" s="53" t="str">
        <f>IF(OR('Reiskosten en presentie'!B95="afwezig",'Reiskosten en presentie'!B95="",'Reiskosten en presentie'!B94=""),"","46")</f>
        <v/>
      </c>
      <c r="B233" s="48" t="str">
        <f>IF(OR('Reiskosten en presentie'!B95="afwezig",'Reiskosten en presentie'!B95="",'Reiskosten en presentie'!B94=""),"","Naam:")</f>
        <v/>
      </c>
      <c r="D233" s="46" t="str">
        <f>IF(OR('Reiskosten en presentie'!B95="afwezig",'Reiskosten en presentie'!B95="",'Reiskosten en presentie'!B94=""),"",'Reiskosten en presentie'!B94)</f>
        <v/>
      </c>
      <c r="E233" s="46"/>
      <c r="F233" s="46"/>
      <c r="G233" s="46"/>
      <c r="H233" s="46"/>
    </row>
    <row r="234" spans="1:10" ht="17.399999999999999" x14ac:dyDescent="0.3">
      <c r="B234" s="78" t="str">
        <f>IF(OR('Reiskosten en presentie'!B95="afwezig",'Reiskosten en presentie'!B95="",'Reiskosten en presentie'!B94=""),"","Bankrekeningnummer:")</f>
        <v/>
      </c>
      <c r="C234" s="78"/>
      <c r="D234" s="47" t="str">
        <f>IF(OR('Reiskosten en presentie'!B95="afwezig",'Reiskosten en presentie'!B95="",'Reiskosten en presentie'!B94=""),"",'Reiskosten en presentie'!E95)</f>
        <v/>
      </c>
      <c r="E234" s="47" t="str">
        <f>IF(OR('Reiskosten en presentie'!B95="afwezig",'Reiskosten en presentie'!B95="",'Reiskosten en presentie'!B94=""),"",'Reiskosten en presentie'!F95)</f>
        <v/>
      </c>
      <c r="F234" s="47" t="str">
        <f>IF(OR('Reiskosten en presentie'!B95="afwezig",'Reiskosten en presentie'!B95="",'Reiskosten en presentie'!B94=""),"",'Reiskosten en presentie'!G95)</f>
        <v/>
      </c>
      <c r="G234" s="47" t="str">
        <f>IF(OR('Reiskosten en presentie'!B95="afwezig",'Reiskosten en presentie'!B95="",'Reiskosten en presentie'!B94=""),"",'Reiskosten en presentie'!H95)</f>
        <v/>
      </c>
      <c r="H234" s="47" t="str">
        <f>IF(OR('Reiskosten en presentie'!B95="afwezig",'Reiskosten en presentie'!B95="",'Reiskosten en presentie'!B94=""),"",'Reiskosten en presentie'!I95)</f>
        <v/>
      </c>
      <c r="I234" s="54" t="str">
        <f>IF(OR('Reiskosten en presentie'!B95="afwezig",'Reiskosten en presentie'!B95="",'Reiskosten en presentie'!B94=""),"","□")</f>
        <v/>
      </c>
      <c r="J234" s="1" t="str">
        <f>IF(OR('Reiskosten en presentie'!B95="afwezig",'Reiskosten en presentie'!B95="",'Reiskosten en presentie'!B94=""),"","controle")</f>
        <v/>
      </c>
    </row>
    <row r="235" spans="1:10" ht="15" x14ac:dyDescent="0.25">
      <c r="B235" s="46" t="str">
        <f>IF(OR('Reiskosten en presentie'!B95="afwezig",'Reiskosten en presentie'!B95="",'Reiskosten en presentie'!B94=""),"","0001 Kantoorbehoeften")</f>
        <v/>
      </c>
      <c r="D235" s="56" t="str">
        <f>IF(OR('Reiskosten en presentie'!B95="afwezig",'Reiskosten en presentie'!B95="",'Reiskosten en presentie'!B94=""),"",'Reiskosten en presentie'!F94+'Reiskosten en presentie'!K94)</f>
        <v/>
      </c>
    </row>
    <row r="236" spans="1:10" ht="15" x14ac:dyDescent="0.25">
      <c r="B236" s="46" t="str">
        <f>IF(OR('Reiskosten en presentie'!B95="afwezig",'Reiskosten en presentie'!B95="",'Reiskosten en presentie'!B94=""),"","0008 Reiskosten")</f>
        <v/>
      </c>
      <c r="D236" s="56" t="str">
        <f>IF(OR('Reiskosten en presentie'!B95="afwezig",'Reiskosten en presentie'!B95="",'Reiskosten en presentie'!B94=""),"",'Reiskosten en presentie'!J94)</f>
        <v/>
      </c>
    </row>
    <row r="238" spans="1:10" ht="15.6" x14ac:dyDescent="0.3">
      <c r="A238" s="49" t="str">
        <f>IF(OR('Reiskosten en presentie'!B97="afwezig",'Reiskosten en presentie'!B97="",'Reiskosten en presentie'!B96=""),"","47")</f>
        <v/>
      </c>
      <c r="B238" s="48" t="str">
        <f>IF(OR('Reiskosten en presentie'!B97="afwezig",'Reiskosten en presentie'!B97="",'Reiskosten en presentie'!B96=""),"","Naam:")</f>
        <v/>
      </c>
      <c r="C238" s="50"/>
      <c r="D238" s="50" t="str">
        <f>IF(OR('Reiskosten en presentie'!B97="afwezig",'Reiskosten en presentie'!B97="",'Reiskosten en presentie'!B96=""),"",'Reiskosten en presentie'!B96)</f>
        <v/>
      </c>
      <c r="E238" s="50"/>
      <c r="F238" s="50"/>
      <c r="G238" s="50"/>
      <c r="H238" s="50"/>
      <c r="I238" s="50"/>
      <c r="J238" s="50"/>
    </row>
    <row r="239" spans="1:10" ht="17.399999999999999" x14ac:dyDescent="0.3">
      <c r="A239" s="49"/>
      <c r="B239" s="138" t="str">
        <f>IF(OR('Reiskosten en presentie'!B97="afwezig",'Reiskosten en presentie'!B97="",'Reiskosten en presentie'!B96=""),"","Bankrekeningnummer:")</f>
        <v/>
      </c>
      <c r="C239" s="138"/>
      <c r="D239" s="47" t="str">
        <f>IF(OR('Reiskosten en presentie'!B97="afwezig",'Reiskosten en presentie'!B97="",'Reiskosten en presentie'!B96=""),"",'Reiskosten en presentie'!E97)</f>
        <v/>
      </c>
      <c r="E239" s="47" t="str">
        <f>IF(OR('Reiskosten en presentie'!B97="afwezig",'Reiskosten en presentie'!B97="",'Reiskosten en presentie'!B96=""),"",'Reiskosten en presentie'!F97)</f>
        <v/>
      </c>
      <c r="F239" s="47" t="str">
        <f>IF(OR('Reiskosten en presentie'!B97="afwezig",'Reiskosten en presentie'!B97="",'Reiskosten en presentie'!B96=""),"",'Reiskosten en presentie'!G97)</f>
        <v/>
      </c>
      <c r="G239" s="47" t="str">
        <f>IF(OR('Reiskosten en presentie'!B97="afwezig",'Reiskosten en presentie'!B97="",'Reiskosten en presentie'!B96=""),"",'Reiskosten en presentie'!H97)</f>
        <v/>
      </c>
      <c r="H239" s="47" t="str">
        <f>IF(OR('Reiskosten en presentie'!B97="afwezig",'Reiskosten en presentie'!B97="",'Reiskosten en presentie'!B96=""),"",'Reiskosten en presentie'!I97)</f>
        <v/>
      </c>
      <c r="I239" s="57" t="str">
        <f>IF(OR('Reiskosten en presentie'!B97="afwezig",'Reiskosten en presentie'!B97="",'Reiskosten en presentie'!B96=""),"","□")</f>
        <v/>
      </c>
      <c r="J239" s="1" t="str">
        <f>IF(OR('Reiskosten en presentie'!B97="afwezig",'Reiskosten en presentie'!B97="",'Reiskosten en presentie'!B96=""),"","controle")</f>
        <v/>
      </c>
    </row>
    <row r="240" spans="1:10" ht="15" x14ac:dyDescent="0.25">
      <c r="A240" s="50"/>
      <c r="B240" s="46" t="str">
        <f>IF(OR('Reiskosten en presentie'!B97="afwezig",'Reiskosten en presentie'!B97="",'Reiskosten en presentie'!B96=""),"","0001 Kantoorbehoeften")</f>
        <v/>
      </c>
      <c r="C240" s="50"/>
      <c r="D240" s="58" t="str">
        <f>IF(OR('Reiskosten en presentie'!B97="afwezig",'Reiskosten en presentie'!B97="",'Reiskosten en presentie'!B96=""),"",'Reiskosten en presentie'!F96+'Reiskosten en presentie'!K96)</f>
        <v/>
      </c>
      <c r="E240" s="47"/>
      <c r="F240" s="47"/>
      <c r="G240" s="47"/>
      <c r="H240" s="47"/>
      <c r="I240" s="50"/>
      <c r="J240" s="50"/>
    </row>
    <row r="241" spans="1:10" ht="15" x14ac:dyDescent="0.25">
      <c r="A241" s="50"/>
      <c r="B241" s="46" t="str">
        <f>IF(OR('Reiskosten en presentie'!B97="afwezig",'Reiskosten en presentie'!B97="",'Reiskosten en presentie'!B96=""),"","0008 Reiskosten")</f>
        <v/>
      </c>
      <c r="C241" s="50"/>
      <c r="D241" s="58" t="str">
        <f>IF(OR('Reiskosten en presentie'!B97="afwezig",'Reiskosten en presentie'!B97="",'Reiskosten en presentie'!B96=""),"",'Reiskosten en presentie'!J96)</f>
        <v/>
      </c>
      <c r="E241" s="47"/>
      <c r="F241" s="47"/>
      <c r="G241" s="47"/>
      <c r="H241" s="47"/>
      <c r="I241" s="50"/>
      <c r="J241" s="50"/>
    </row>
    <row r="243" spans="1:10" ht="15.6" x14ac:dyDescent="0.3">
      <c r="A243" s="49" t="str">
        <f>IF(OR('Reiskosten en presentie'!B99="afwezig",'Reiskosten en presentie'!B99="",'Reiskosten en presentie'!B98=""),"","48")</f>
        <v/>
      </c>
      <c r="B243" s="48" t="str">
        <f>IF(OR('Reiskosten en presentie'!B99="afwezig",'Reiskosten en presentie'!B99="",'Reiskosten en presentie'!B98=""),"","Naam:")</f>
        <v/>
      </c>
      <c r="C243" s="50"/>
      <c r="D243" s="50" t="str">
        <f>IF(OR('Reiskosten en presentie'!B99="afwezig",'Reiskosten en presentie'!B99="",'Reiskosten en presentie'!B98=""),"",'Reiskosten en presentie'!B98)</f>
        <v/>
      </c>
      <c r="E243" s="50"/>
      <c r="F243" s="50"/>
      <c r="G243" s="50"/>
      <c r="H243" s="50"/>
      <c r="I243" s="50"/>
      <c r="J243" s="50"/>
    </row>
    <row r="244" spans="1:10" ht="17.399999999999999" x14ac:dyDescent="0.3">
      <c r="A244" s="49"/>
      <c r="B244" s="138" t="str">
        <f>IF(OR('Reiskosten en presentie'!B99="afwezig",'Reiskosten en presentie'!B99="",'Reiskosten en presentie'!B98=""),"","Bankrekeningnummer:")</f>
        <v/>
      </c>
      <c r="C244" s="138"/>
      <c r="D244" s="47" t="str">
        <f>IF(OR('Reiskosten en presentie'!B99="afwezig",'Reiskosten en presentie'!B99="",'Reiskosten en presentie'!B98=""),"",'Reiskosten en presentie'!E99)</f>
        <v/>
      </c>
      <c r="E244" s="47" t="str">
        <f>IF(OR('Reiskosten en presentie'!B99="afwezig",'Reiskosten en presentie'!B99="",'Reiskosten en presentie'!B98=""),"",'Reiskosten en presentie'!F99)</f>
        <v/>
      </c>
      <c r="F244" s="47" t="str">
        <f>IF(OR('Reiskosten en presentie'!B99="afwezig",'Reiskosten en presentie'!B99="",'Reiskosten en presentie'!B98=""),"",'Reiskosten en presentie'!G99)</f>
        <v/>
      </c>
      <c r="G244" s="47" t="str">
        <f>IF(OR('Reiskosten en presentie'!B99="afwezig",'Reiskosten en presentie'!B99="",'Reiskosten en presentie'!B98=""),"",'Reiskosten en presentie'!H99)</f>
        <v/>
      </c>
      <c r="H244" s="47" t="str">
        <f>IF(OR('Reiskosten en presentie'!B99="afwezig",'Reiskosten en presentie'!B99="",'Reiskosten en presentie'!B98=""),"",'Reiskosten en presentie'!I99)</f>
        <v/>
      </c>
      <c r="I244" s="57" t="str">
        <f>IF(OR('Reiskosten en presentie'!B99="afwezig",'Reiskosten en presentie'!B99="",'Reiskosten en presentie'!B98=""),"","□")</f>
        <v/>
      </c>
      <c r="J244" s="1" t="str">
        <f>IF(OR('Reiskosten en presentie'!B99="afwezig",'Reiskosten en presentie'!B99="",'Reiskosten en presentie'!B98=""),"","controle")</f>
        <v/>
      </c>
    </row>
    <row r="245" spans="1:10" ht="15" x14ac:dyDescent="0.25">
      <c r="A245" s="50"/>
      <c r="B245" s="46" t="str">
        <f>IF(OR('Reiskosten en presentie'!B99="afwezig",'Reiskosten en presentie'!B99="",'Reiskosten en presentie'!B98=""),"","0001 Kantoorbehoeften")</f>
        <v/>
      </c>
      <c r="C245" s="50"/>
      <c r="D245" s="58" t="str">
        <f>IF(OR('Reiskosten en presentie'!B99="afwezig",'Reiskosten en presentie'!B99="",'Reiskosten en presentie'!B98=""),"",'Reiskosten en presentie'!F98+'Reiskosten en presentie'!K98)</f>
        <v/>
      </c>
      <c r="E245" s="47"/>
      <c r="F245" s="47"/>
      <c r="G245" s="47"/>
      <c r="H245" s="47"/>
      <c r="I245" s="50"/>
      <c r="J245" s="50"/>
    </row>
    <row r="246" spans="1:10" ht="15" x14ac:dyDescent="0.25">
      <c r="A246" s="50"/>
      <c r="B246" s="46" t="str">
        <f>IF(OR('Reiskosten en presentie'!B99="afwezig",'Reiskosten en presentie'!B99="",'Reiskosten en presentie'!B98=""),"","0008 Reiskosten")</f>
        <v/>
      </c>
      <c r="C246" s="50"/>
      <c r="D246" s="58" t="str">
        <f>IF(OR('Reiskosten en presentie'!B99="afwezig",'Reiskosten en presentie'!B99="",'Reiskosten en presentie'!B98=""),"",'Reiskosten en presentie'!J98)</f>
        <v/>
      </c>
      <c r="E246" s="47"/>
      <c r="F246" s="47"/>
      <c r="G246" s="47"/>
      <c r="H246" s="47"/>
      <c r="I246" s="50"/>
      <c r="J246" s="50"/>
    </row>
    <row r="248" spans="1:10" ht="15.6" x14ac:dyDescent="0.3">
      <c r="A248" s="53" t="str">
        <f>IF(OR('Reiskosten en presentie'!B101="afwezig",'Reiskosten en presentie'!B101="",'Reiskosten en presentie'!B100=""),"","49")</f>
        <v/>
      </c>
      <c r="B248" s="48" t="str">
        <f>IF(OR('Reiskosten en presentie'!B101="afwezig",'Reiskosten en presentie'!B101="",'Reiskosten en presentie'!B100=""),"","Naam:")</f>
        <v/>
      </c>
      <c r="D248" s="46" t="str">
        <f>IF(OR('Reiskosten en presentie'!B101="afwezig",'Reiskosten en presentie'!B101="",'Reiskosten en presentie'!B100=""),"",'Reiskosten en presentie'!B100)</f>
        <v/>
      </c>
      <c r="E248" s="46"/>
      <c r="F248" s="46"/>
      <c r="G248" s="46"/>
      <c r="H248" s="46"/>
    </row>
    <row r="249" spans="1:10" ht="17.399999999999999" x14ac:dyDescent="0.3">
      <c r="B249" s="78" t="str">
        <f>IF(OR('Reiskosten en presentie'!B101="afwezig",'Reiskosten en presentie'!B101="",'Reiskosten en presentie'!B100=""),"","Bankrekeningnummer:")</f>
        <v/>
      </c>
      <c r="C249" s="78"/>
      <c r="D249" s="47" t="str">
        <f>IF(OR('Reiskosten en presentie'!B101="afwezig",'Reiskosten en presentie'!B101="",'Reiskosten en presentie'!B100=""),"",'Reiskosten en presentie'!E101)</f>
        <v/>
      </c>
      <c r="E249" s="47" t="str">
        <f>IF(OR('Reiskosten en presentie'!B101="afwezig",'Reiskosten en presentie'!B101="",'Reiskosten en presentie'!B100=""),"",'Reiskosten en presentie'!F101)</f>
        <v/>
      </c>
      <c r="F249" s="47" t="str">
        <f>IF(OR('Reiskosten en presentie'!B101="afwezig",'Reiskosten en presentie'!B101="",'Reiskosten en presentie'!B100=""),"",'Reiskosten en presentie'!G101)</f>
        <v/>
      </c>
      <c r="G249" s="47" t="str">
        <f>IF(OR('Reiskosten en presentie'!B101="afwezig",'Reiskosten en presentie'!B101="",'Reiskosten en presentie'!B100=""),"",'Reiskosten en presentie'!H101)</f>
        <v/>
      </c>
      <c r="H249" s="47" t="str">
        <f>IF(OR('Reiskosten en presentie'!B101="afwezig",'Reiskosten en presentie'!B101="",'Reiskosten en presentie'!B100=""),"",'Reiskosten en presentie'!I101)</f>
        <v/>
      </c>
      <c r="I249" s="54" t="str">
        <f>IF(OR('Reiskosten en presentie'!B101="afwezig",'Reiskosten en presentie'!B101="",'Reiskosten en presentie'!B100=""),"","□")</f>
        <v/>
      </c>
      <c r="J249" s="1" t="str">
        <f>IF(OR('Reiskosten en presentie'!B101="afwezig",'Reiskosten en presentie'!B101="",'Reiskosten en presentie'!B100=""),"","controle")</f>
        <v/>
      </c>
    </row>
    <row r="250" spans="1:10" ht="15" x14ac:dyDescent="0.25">
      <c r="B250" s="46" t="str">
        <f>IF(OR('Reiskosten en presentie'!B101="afwezig",'Reiskosten en presentie'!B101="",'Reiskosten en presentie'!B100=""),"","0001 Kantoorbehoeften")</f>
        <v/>
      </c>
      <c r="D250" s="56" t="str">
        <f>IF(OR('Reiskosten en presentie'!B101="afwezig",'Reiskosten en presentie'!B101="",'Reiskosten en presentie'!B100=""),"",'Reiskosten en presentie'!F100+'Reiskosten en presentie'!K100)</f>
        <v/>
      </c>
    </row>
    <row r="251" spans="1:10" ht="15" x14ac:dyDescent="0.25">
      <c r="B251" s="46" t="str">
        <f>IF(OR('Reiskosten en presentie'!B101="afwezig",'Reiskosten en presentie'!B101="",'Reiskosten en presentie'!B100=""),"","0008 Reiskosten")</f>
        <v/>
      </c>
      <c r="D251" s="56" t="str">
        <f>IF(OR('Reiskosten en presentie'!B101="afwezig",'Reiskosten en presentie'!B101="",'Reiskosten en presentie'!B100=""),"",'Reiskosten en presentie'!J100)</f>
        <v/>
      </c>
    </row>
    <row r="253" spans="1:10" ht="15.6" x14ac:dyDescent="0.3">
      <c r="A253" s="49" t="str">
        <f>IF(OR('Reiskosten en presentie'!B103="afwezig",'Reiskosten en presentie'!B103="",'Reiskosten en presentie'!B102=""),"","50")</f>
        <v/>
      </c>
      <c r="B253" s="48" t="str">
        <f>IF(OR('Reiskosten en presentie'!B103="afwezig",'Reiskosten en presentie'!B103="",'Reiskosten en presentie'!B102=""),"","Naam:")</f>
        <v/>
      </c>
      <c r="C253" s="50"/>
      <c r="D253" s="50" t="str">
        <f>IF(OR('Reiskosten en presentie'!B103="afwezig",'Reiskosten en presentie'!B103="",'Reiskosten en presentie'!B102=""),"",'Reiskosten en presentie'!B102)</f>
        <v/>
      </c>
      <c r="E253" s="50"/>
      <c r="F253" s="50"/>
      <c r="G253" s="50"/>
      <c r="H253" s="50"/>
      <c r="I253" s="50"/>
      <c r="J253" s="50"/>
    </row>
    <row r="254" spans="1:10" ht="17.399999999999999" x14ac:dyDescent="0.3">
      <c r="A254" s="49"/>
      <c r="B254" s="138" t="str">
        <f>IF(OR('Reiskosten en presentie'!B103="afwezig",'Reiskosten en presentie'!B103="",'Reiskosten en presentie'!B102=""),"","Bankrekeningnummer:")</f>
        <v/>
      </c>
      <c r="C254" s="138"/>
      <c r="D254" s="47" t="str">
        <f>IF(OR('Reiskosten en presentie'!B103="afwezig",'Reiskosten en presentie'!B103="",'Reiskosten en presentie'!B102=""),"",'Reiskosten en presentie'!E103)</f>
        <v/>
      </c>
      <c r="E254" s="47" t="str">
        <f>IF(OR('Reiskosten en presentie'!B103="afwezig",'Reiskosten en presentie'!B103="",'Reiskosten en presentie'!B102=""),"",'Reiskosten en presentie'!F103)</f>
        <v/>
      </c>
      <c r="F254" s="47" t="str">
        <f>IF(OR('Reiskosten en presentie'!B103="afwezig",'Reiskosten en presentie'!B103="",'Reiskosten en presentie'!B102=""),"",'Reiskosten en presentie'!G103)</f>
        <v/>
      </c>
      <c r="G254" s="47" t="str">
        <f>IF(OR('Reiskosten en presentie'!B103="afwezig",'Reiskosten en presentie'!B103="",'Reiskosten en presentie'!B102=""),"",'Reiskosten en presentie'!H103)</f>
        <v/>
      </c>
      <c r="H254" s="47" t="str">
        <f>IF(OR('Reiskosten en presentie'!B103="afwezig",'Reiskosten en presentie'!B103="",'Reiskosten en presentie'!B102=""),"",'Reiskosten en presentie'!I103)</f>
        <v/>
      </c>
      <c r="I254" s="57" t="str">
        <f>IF(OR('Reiskosten en presentie'!B103="afwezig",'Reiskosten en presentie'!B103="",'Reiskosten en presentie'!B102=""),"","□")</f>
        <v/>
      </c>
      <c r="J254" s="1" t="str">
        <f>IF(OR('Reiskosten en presentie'!B103="afwezig",'Reiskosten en presentie'!B103="",'Reiskosten en presentie'!B102=""),"","controle")</f>
        <v/>
      </c>
    </row>
    <row r="255" spans="1:10" ht="15" x14ac:dyDescent="0.25">
      <c r="A255" s="50"/>
      <c r="B255" s="46" t="str">
        <f>IF(OR('Reiskosten en presentie'!B103="afwezig",'Reiskosten en presentie'!B103="",'Reiskosten en presentie'!B102=""),"","0001 Kantoorbehoeften")</f>
        <v/>
      </c>
      <c r="C255" s="50"/>
      <c r="D255" s="58" t="str">
        <f>IF(OR('Reiskosten en presentie'!B103="afwezig",'Reiskosten en presentie'!B103="",'Reiskosten en presentie'!B102=""),"",'Reiskosten en presentie'!F102+'Reiskosten en presentie'!K102)</f>
        <v/>
      </c>
      <c r="E255" s="47"/>
      <c r="F255" s="47"/>
      <c r="G255" s="47"/>
      <c r="H255" s="47"/>
      <c r="I255" s="50"/>
      <c r="J255" s="50"/>
    </row>
    <row r="256" spans="1:10" ht="15" x14ac:dyDescent="0.25">
      <c r="A256" s="50"/>
      <c r="B256" s="46" t="str">
        <f>IF(OR('Reiskosten en presentie'!B103="afwezig",'Reiskosten en presentie'!B103="",'Reiskosten en presentie'!B102=""),"","0008 Reiskosten")</f>
        <v/>
      </c>
      <c r="C256" s="50"/>
      <c r="D256" s="58" t="str">
        <f>IF(OR('Reiskosten en presentie'!B103="afwezig",'Reiskosten en presentie'!B103="",'Reiskosten en presentie'!B102=""),"",'Reiskosten en presentie'!J102)</f>
        <v/>
      </c>
      <c r="E256" s="47"/>
      <c r="F256" s="47"/>
      <c r="G256" s="47"/>
      <c r="H256" s="47"/>
      <c r="I256" s="50"/>
      <c r="J256" s="50"/>
    </row>
  </sheetData>
  <sheetProtection algorithmName="SHA-512" hashValue="Twgd8MuQc4iRoE6AcWGp0aBelAw6FEt44QJ2uqka7J2gl5Nwth1gu4O6zzOEHQq1KdBAx/txbkRNYI3czOMe1Q==" saltValue="ftsrg5zjKdBHJcPfKoR57w==" spinCount="100000" sheet="1" selectLockedCells="1"/>
  <mergeCells count="52">
    <mergeCell ref="H4:J6"/>
    <mergeCell ref="B149:C149"/>
    <mergeCell ref="B154:C154"/>
    <mergeCell ref="B164:C164"/>
    <mergeCell ref="B169:C169"/>
    <mergeCell ref="B9:C9"/>
    <mergeCell ref="B144:C144"/>
    <mergeCell ref="B159:C159"/>
    <mergeCell ref="B134:C134"/>
    <mergeCell ref="B139:C139"/>
    <mergeCell ref="B14:C14"/>
    <mergeCell ref="B24:C24"/>
    <mergeCell ref="B39:C39"/>
    <mergeCell ref="B54:C54"/>
    <mergeCell ref="B69:C69"/>
    <mergeCell ref="B84:C84"/>
    <mergeCell ref="B254:C254"/>
    <mergeCell ref="B239:C239"/>
    <mergeCell ref="B244:C244"/>
    <mergeCell ref="B99:C99"/>
    <mergeCell ref="B114:C114"/>
    <mergeCell ref="B129:C129"/>
    <mergeCell ref="B119:C119"/>
    <mergeCell ref="B124:C124"/>
    <mergeCell ref="B104:C104"/>
    <mergeCell ref="B109:C109"/>
    <mergeCell ref="B189:C189"/>
    <mergeCell ref="B204:C204"/>
    <mergeCell ref="B219:C219"/>
    <mergeCell ref="B234:C234"/>
    <mergeCell ref="B184:C184"/>
    <mergeCell ref="B194:C194"/>
    <mergeCell ref="F5:G5"/>
    <mergeCell ref="B19:C19"/>
    <mergeCell ref="B29:C29"/>
    <mergeCell ref="B34:C34"/>
    <mergeCell ref="B44:C44"/>
    <mergeCell ref="B49:C49"/>
    <mergeCell ref="B59:C59"/>
    <mergeCell ref="B64:C64"/>
    <mergeCell ref="B74:C74"/>
    <mergeCell ref="B79:C79"/>
    <mergeCell ref="B89:C89"/>
    <mergeCell ref="B94:C94"/>
    <mergeCell ref="B179:C179"/>
    <mergeCell ref="B249:C249"/>
    <mergeCell ref="B174:C174"/>
    <mergeCell ref="B209:C209"/>
    <mergeCell ref="B214:C214"/>
    <mergeCell ref="B224:C224"/>
    <mergeCell ref="B229:C229"/>
    <mergeCell ref="B199:C199"/>
  </mergeCells>
  <pageMargins left="0.23622047244094491" right="0.23622047244094491" top="0.74803149606299213" bottom="0.74803149606299213" header="0.31496062992125984" footer="0.31496062992125984"/>
  <pageSetup paperSize="9" fitToHeight="0"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V132"/>
  <sheetViews>
    <sheetView workbookViewId="0">
      <pane ySplit="1" topLeftCell="A2" activePane="bottomLeft" state="frozen"/>
      <selection pane="bottomLeft" activeCell="B126" sqref="B126"/>
    </sheetView>
  </sheetViews>
  <sheetFormatPr defaultColWidth="8.77734375" defaultRowHeight="13.2" x14ac:dyDescent="0.25"/>
  <cols>
    <col min="1" max="1" width="12" bestFit="1" customWidth="1"/>
    <col min="2" max="2" width="36.77734375" bestFit="1" customWidth="1"/>
    <col min="3" max="3" width="11.44140625" bestFit="1" customWidth="1"/>
    <col min="4" max="4" width="22.6640625" bestFit="1" customWidth="1"/>
    <col min="5" max="5" width="19.109375" bestFit="1" customWidth="1"/>
    <col min="6" max="6" width="23.6640625" bestFit="1" customWidth="1"/>
    <col min="7" max="7" width="6.33203125" bestFit="1" customWidth="1"/>
    <col min="8" max="8" width="15.6640625" bestFit="1" customWidth="1"/>
    <col min="9" max="9" width="7.44140625" bestFit="1" customWidth="1"/>
    <col min="10" max="10" width="18.33203125" bestFit="1" customWidth="1"/>
    <col min="11" max="11" width="7.109375" bestFit="1" customWidth="1"/>
    <col min="12" max="12" width="8.44140625" bestFit="1" customWidth="1"/>
    <col min="13" max="13" width="7.33203125" bestFit="1" customWidth="1"/>
    <col min="14" max="14" width="18.6640625" bestFit="1" customWidth="1"/>
    <col min="15" max="15" width="7.109375" bestFit="1" customWidth="1"/>
    <col min="17" max="17" width="28.109375" bestFit="1" customWidth="1"/>
    <col min="18" max="18" width="19.109375" bestFit="1" customWidth="1"/>
    <col min="19" max="19" width="17.44140625" bestFit="1" customWidth="1"/>
    <col min="20" max="20" width="21.109375" bestFit="1" customWidth="1"/>
    <col min="21" max="21" width="17.44140625" bestFit="1" customWidth="1"/>
    <col min="22" max="22" width="15.44140625" bestFit="1" customWidth="1"/>
  </cols>
  <sheetData>
    <row r="1" spans="1:22" s="2" customFormat="1" x14ac:dyDescent="0.25">
      <c r="A1" s="2" t="s">
        <v>15</v>
      </c>
      <c r="B1" s="2" t="s">
        <v>2</v>
      </c>
      <c r="D1" s="2" t="s">
        <v>28</v>
      </c>
      <c r="F1" s="2" t="s">
        <v>30</v>
      </c>
      <c r="Q1" s="2" t="s">
        <v>39</v>
      </c>
      <c r="R1"/>
      <c r="S1"/>
      <c r="T1"/>
      <c r="U1"/>
      <c r="V1"/>
    </row>
    <row r="2" spans="1:22" x14ac:dyDescent="0.25">
      <c r="A2" s="1">
        <v>801</v>
      </c>
      <c r="B2" s="1" t="s">
        <v>238</v>
      </c>
      <c r="C2" s="2"/>
      <c r="D2" s="2" t="s">
        <v>29</v>
      </c>
      <c r="E2" s="2"/>
      <c r="F2" s="2" t="s">
        <v>3</v>
      </c>
      <c r="G2" s="2" t="s">
        <v>4</v>
      </c>
      <c r="H2" s="2" t="s">
        <v>13</v>
      </c>
      <c r="I2" s="2" t="s">
        <v>31</v>
      </c>
      <c r="J2" s="2" t="s">
        <v>5</v>
      </c>
      <c r="K2" s="2" t="s">
        <v>37</v>
      </c>
      <c r="L2" s="2" t="s">
        <v>7</v>
      </c>
      <c r="M2" s="2" t="s">
        <v>12</v>
      </c>
      <c r="N2" s="2" t="s">
        <v>121</v>
      </c>
      <c r="O2" s="2" t="s">
        <v>8</v>
      </c>
      <c r="Q2" s="2" t="s">
        <v>22</v>
      </c>
      <c r="R2" s="2" t="s">
        <v>19</v>
      </c>
      <c r="S2" s="2" t="s">
        <v>122</v>
      </c>
      <c r="T2" s="2" t="s">
        <v>23</v>
      </c>
      <c r="U2" s="2" t="s">
        <v>123</v>
      </c>
      <c r="V2" s="2" t="s">
        <v>21</v>
      </c>
    </row>
    <row r="3" spans="1:22" x14ac:dyDescent="0.25">
      <c r="A3" s="1">
        <v>811</v>
      </c>
      <c r="B3" s="1" t="s">
        <v>117</v>
      </c>
      <c r="C3" s="2"/>
      <c r="D3" s="1" t="s">
        <v>3</v>
      </c>
      <c r="F3" s="1" t="s">
        <v>17</v>
      </c>
      <c r="G3" s="1" t="s">
        <v>253</v>
      </c>
      <c r="H3" s="1" t="s">
        <v>25</v>
      </c>
      <c r="I3" s="1" t="s">
        <v>22</v>
      </c>
      <c r="J3" s="1" t="s">
        <v>96</v>
      </c>
      <c r="L3" s="1" t="s">
        <v>38</v>
      </c>
      <c r="N3" s="1" t="s">
        <v>225</v>
      </c>
      <c r="Q3" s="1" t="s">
        <v>45</v>
      </c>
      <c r="R3" s="1" t="s">
        <v>45</v>
      </c>
      <c r="S3" s="1" t="s">
        <v>61</v>
      </c>
      <c r="T3" s="1" t="s">
        <v>78</v>
      </c>
      <c r="U3" s="1" t="s">
        <v>61</v>
      </c>
      <c r="V3" s="1" t="s">
        <v>87</v>
      </c>
    </row>
    <row r="4" spans="1:22" x14ac:dyDescent="0.25">
      <c r="A4" s="1">
        <v>814</v>
      </c>
      <c r="B4" s="1" t="s">
        <v>118</v>
      </c>
      <c r="C4" s="2"/>
      <c r="D4" s="1" t="s">
        <v>5</v>
      </c>
      <c r="F4" s="1" t="s">
        <v>18</v>
      </c>
      <c r="G4" s="1" t="s">
        <v>254</v>
      </c>
      <c r="H4" s="1" t="s">
        <v>24</v>
      </c>
      <c r="I4" s="1" t="s">
        <v>122</v>
      </c>
      <c r="J4" s="1" t="s">
        <v>33</v>
      </c>
      <c r="K4" s="1"/>
      <c r="L4" s="1" t="s">
        <v>20</v>
      </c>
      <c r="N4" s="1" t="s">
        <v>226</v>
      </c>
      <c r="Q4" s="1" t="s">
        <v>61</v>
      </c>
      <c r="R4" s="1" t="s">
        <v>71</v>
      </c>
      <c r="S4" s="1" t="s">
        <v>76</v>
      </c>
      <c r="T4" s="1" t="s">
        <v>79</v>
      </c>
      <c r="U4" s="1" t="s">
        <v>76</v>
      </c>
      <c r="V4" s="1" t="s">
        <v>92</v>
      </c>
    </row>
    <row r="5" spans="1:22" x14ac:dyDescent="0.25">
      <c r="A5" s="1">
        <v>1101</v>
      </c>
      <c r="B5" s="1" t="s">
        <v>260</v>
      </c>
      <c r="C5" s="2"/>
      <c r="D5" s="1" t="s">
        <v>12</v>
      </c>
      <c r="G5" s="1" t="s">
        <v>255</v>
      </c>
      <c r="H5" s="1" t="s">
        <v>105</v>
      </c>
      <c r="I5" s="1" t="s">
        <v>123</v>
      </c>
      <c r="J5" s="1" t="s">
        <v>97</v>
      </c>
      <c r="Q5" s="1" t="s">
        <v>43</v>
      </c>
      <c r="R5" s="1" t="s">
        <v>52</v>
      </c>
      <c r="S5" s="1" t="s">
        <v>64</v>
      </c>
      <c r="T5" s="1" t="s">
        <v>71</v>
      </c>
      <c r="U5" s="1" t="s">
        <v>64</v>
      </c>
      <c r="V5" s="1" t="s">
        <v>90</v>
      </c>
    </row>
    <row r="6" spans="1:22" x14ac:dyDescent="0.25">
      <c r="A6" s="1">
        <v>1106</v>
      </c>
      <c r="B6" s="1" t="s">
        <v>100</v>
      </c>
      <c r="C6" s="2"/>
      <c r="D6" s="1" t="s">
        <v>31</v>
      </c>
      <c r="G6" s="1" t="s">
        <v>256</v>
      </c>
      <c r="H6" s="1" t="s">
        <v>106</v>
      </c>
      <c r="I6" s="1" t="s">
        <v>19</v>
      </c>
      <c r="J6" s="1" t="s">
        <v>36</v>
      </c>
      <c r="Q6" s="1" t="s">
        <v>52</v>
      </c>
      <c r="R6" s="1" t="s">
        <v>49</v>
      </c>
      <c r="S6" s="1" t="s">
        <v>55</v>
      </c>
      <c r="T6" s="1" t="s">
        <v>52</v>
      </c>
      <c r="U6" s="1" t="s">
        <v>55</v>
      </c>
      <c r="V6" s="1" t="s">
        <v>93</v>
      </c>
    </row>
    <row r="7" spans="1:22" x14ac:dyDescent="0.25">
      <c r="A7" s="1">
        <v>1107</v>
      </c>
      <c r="B7" s="1" t="s">
        <v>101</v>
      </c>
      <c r="C7" s="2"/>
      <c r="D7" s="1" t="s">
        <v>13</v>
      </c>
      <c r="G7" s="1" t="s">
        <v>257</v>
      </c>
      <c r="H7" s="1" t="s">
        <v>26</v>
      </c>
      <c r="I7" s="1" t="s">
        <v>23</v>
      </c>
      <c r="J7" s="1" t="s">
        <v>32</v>
      </c>
      <c r="Q7" s="1" t="s">
        <v>49</v>
      </c>
      <c r="R7" s="1" t="s">
        <v>53</v>
      </c>
      <c r="S7" s="1" t="s">
        <v>54</v>
      </c>
      <c r="T7" s="1" t="s">
        <v>49</v>
      </c>
      <c r="U7" s="1" t="s">
        <v>54</v>
      </c>
      <c r="V7" s="1" t="s">
        <v>91</v>
      </c>
    </row>
    <row r="8" spans="1:22" x14ac:dyDescent="0.25">
      <c r="A8" s="1">
        <v>1127</v>
      </c>
      <c r="B8" s="1" t="s">
        <v>124</v>
      </c>
      <c r="C8" s="2"/>
      <c r="D8" s="1" t="s">
        <v>37</v>
      </c>
      <c r="G8" s="1" t="s">
        <v>258</v>
      </c>
      <c r="H8" s="1" t="s">
        <v>27</v>
      </c>
      <c r="I8" s="1" t="s">
        <v>21</v>
      </c>
      <c r="J8" s="1" t="s">
        <v>35</v>
      </c>
      <c r="Q8" s="1" t="s">
        <v>64</v>
      </c>
      <c r="R8" s="1" t="s">
        <v>47</v>
      </c>
      <c r="S8" s="1" t="s">
        <v>62</v>
      </c>
      <c r="T8" s="1" t="s">
        <v>53</v>
      </c>
      <c r="U8" s="1" t="s">
        <v>62</v>
      </c>
      <c r="V8" s="1" t="s">
        <v>86</v>
      </c>
    </row>
    <row r="9" spans="1:22" x14ac:dyDescent="0.25">
      <c r="A9" s="1">
        <v>1128</v>
      </c>
      <c r="B9" s="1" t="s">
        <v>125</v>
      </c>
      <c r="C9" s="2"/>
      <c r="D9" s="1" t="s">
        <v>7</v>
      </c>
      <c r="G9" s="1" t="s">
        <v>259</v>
      </c>
      <c r="H9" s="1" t="s">
        <v>21</v>
      </c>
      <c r="J9" s="1" t="s">
        <v>34</v>
      </c>
      <c r="Q9" s="1" t="s">
        <v>53</v>
      </c>
      <c r="R9" s="1" t="s">
        <v>81</v>
      </c>
      <c r="S9" s="1" t="s">
        <v>77</v>
      </c>
      <c r="T9" s="1" t="s">
        <v>81</v>
      </c>
      <c r="U9" s="1" t="s">
        <v>77</v>
      </c>
      <c r="V9" s="1" t="s">
        <v>94</v>
      </c>
    </row>
    <row r="10" spans="1:22" x14ac:dyDescent="0.25">
      <c r="A10" s="1">
        <v>1129</v>
      </c>
      <c r="B10" s="1" t="s">
        <v>126</v>
      </c>
      <c r="C10" s="2"/>
      <c r="D10" s="1" t="s">
        <v>4</v>
      </c>
      <c r="J10" s="1" t="s">
        <v>95</v>
      </c>
      <c r="Q10" s="1" t="s">
        <v>40</v>
      </c>
      <c r="R10" s="1" t="s">
        <v>70</v>
      </c>
      <c r="S10" s="1" t="s">
        <v>74</v>
      </c>
      <c r="T10" s="1" t="s">
        <v>70</v>
      </c>
      <c r="U10" s="1" t="s">
        <v>74</v>
      </c>
      <c r="V10" s="1" t="s">
        <v>82</v>
      </c>
    </row>
    <row r="11" spans="1:22" x14ac:dyDescent="0.25">
      <c r="A11" s="1">
        <v>1130</v>
      </c>
      <c r="B11" s="1" t="s">
        <v>127</v>
      </c>
      <c r="C11" s="1"/>
      <c r="D11" t="s">
        <v>8</v>
      </c>
      <c r="J11" s="1" t="s">
        <v>239</v>
      </c>
      <c r="Q11" s="1" t="s">
        <v>55</v>
      </c>
      <c r="R11" s="1" t="s">
        <v>42</v>
      </c>
      <c r="S11" s="1" t="s">
        <v>67</v>
      </c>
      <c r="T11" s="1" t="s">
        <v>42</v>
      </c>
      <c r="U11" s="1" t="s">
        <v>67</v>
      </c>
      <c r="V11" s="1" t="s">
        <v>84</v>
      </c>
    </row>
    <row r="12" spans="1:22" x14ac:dyDescent="0.25">
      <c r="A12">
        <v>1131</v>
      </c>
      <c r="B12" s="1" t="s">
        <v>128</v>
      </c>
      <c r="C12" s="1"/>
      <c r="J12" s="1" t="s">
        <v>130</v>
      </c>
      <c r="Q12" s="1" t="s">
        <v>44</v>
      </c>
      <c r="R12" s="1" t="s">
        <v>50</v>
      </c>
      <c r="S12" s="1" t="s">
        <v>58</v>
      </c>
      <c r="T12" s="1" t="s">
        <v>80</v>
      </c>
      <c r="U12" s="1" t="s">
        <v>58</v>
      </c>
      <c r="V12" s="1" t="s">
        <v>88</v>
      </c>
    </row>
    <row r="13" spans="1:22" x14ac:dyDescent="0.25">
      <c r="A13">
        <v>1132</v>
      </c>
      <c r="B13" s="1" t="s">
        <v>129</v>
      </c>
      <c r="Q13" s="1" t="s">
        <v>63</v>
      </c>
      <c r="R13" s="1" t="s">
        <v>72</v>
      </c>
      <c r="S13" s="1" t="s">
        <v>75</v>
      </c>
      <c r="T13" s="1" t="s">
        <v>72</v>
      </c>
      <c r="U13" s="1" t="s">
        <v>75</v>
      </c>
      <c r="V13" s="1" t="s">
        <v>85</v>
      </c>
    </row>
    <row r="14" spans="1:22" x14ac:dyDescent="0.25">
      <c r="A14">
        <v>1133</v>
      </c>
      <c r="B14" s="1" t="s">
        <v>131</v>
      </c>
      <c r="Q14" s="1" t="s">
        <v>54</v>
      </c>
      <c r="R14" s="1" t="s">
        <v>51</v>
      </c>
      <c r="S14" s="1" t="s">
        <v>60</v>
      </c>
      <c r="T14" s="1" t="s">
        <v>51</v>
      </c>
      <c r="U14" s="1" t="s">
        <v>60</v>
      </c>
      <c r="V14" s="1" t="s">
        <v>89</v>
      </c>
    </row>
    <row r="15" spans="1:22" x14ac:dyDescent="0.25">
      <c r="A15">
        <v>1134</v>
      </c>
      <c r="B15" s="1" t="s">
        <v>132</v>
      </c>
      <c r="Q15" s="1" t="s">
        <v>46</v>
      </c>
      <c r="R15" s="1" t="s">
        <v>41</v>
      </c>
      <c r="S15" s="1" t="s">
        <v>65</v>
      </c>
      <c r="T15" s="1" t="s">
        <v>41</v>
      </c>
      <c r="U15" s="1" t="s">
        <v>65</v>
      </c>
      <c r="V15" s="1" t="s">
        <v>83</v>
      </c>
    </row>
    <row r="16" spans="1:22" x14ac:dyDescent="0.25">
      <c r="A16">
        <v>1135</v>
      </c>
      <c r="B16" s="1" t="s">
        <v>133</v>
      </c>
      <c r="Q16" s="1" t="s">
        <v>47</v>
      </c>
      <c r="S16" s="1" t="s">
        <v>73</v>
      </c>
      <c r="U16" s="1" t="s">
        <v>73</v>
      </c>
    </row>
    <row r="17" spans="1:17" x14ac:dyDescent="0.25">
      <c r="A17">
        <v>1136</v>
      </c>
      <c r="B17" s="1" t="s">
        <v>134</v>
      </c>
      <c r="E17" s="1"/>
      <c r="F17" s="1"/>
      <c r="Q17" s="1" t="s">
        <v>62</v>
      </c>
    </row>
    <row r="18" spans="1:17" x14ac:dyDescent="0.25">
      <c r="A18">
        <v>1137</v>
      </c>
      <c r="B18" s="1" t="s">
        <v>135</v>
      </c>
      <c r="E18" s="1"/>
      <c r="F18" s="1"/>
      <c r="G18" s="1"/>
      <c r="H18" s="1"/>
      <c r="Q18" s="1" t="s">
        <v>70</v>
      </c>
    </row>
    <row r="19" spans="1:17" x14ac:dyDescent="0.25">
      <c r="A19">
        <v>1138</v>
      </c>
      <c r="B19" s="1" t="s">
        <v>136</v>
      </c>
      <c r="E19" s="1"/>
      <c r="F19" s="1"/>
      <c r="G19" s="1"/>
      <c r="H19" s="1"/>
      <c r="I19" s="1"/>
      <c r="Q19" s="1" t="s">
        <v>67</v>
      </c>
    </row>
    <row r="20" spans="1:17" x14ac:dyDescent="0.25">
      <c r="A20">
        <v>1139</v>
      </c>
      <c r="B20" s="1" t="s">
        <v>137</v>
      </c>
      <c r="E20" s="1"/>
      <c r="I20" s="1"/>
      <c r="Q20" s="1" t="s">
        <v>119</v>
      </c>
    </row>
    <row r="21" spans="1:17" x14ac:dyDescent="0.25">
      <c r="A21">
        <v>1140</v>
      </c>
      <c r="B21" s="1" t="s">
        <v>138</v>
      </c>
      <c r="Q21" s="1" t="s">
        <v>42</v>
      </c>
    </row>
    <row r="22" spans="1:17" x14ac:dyDescent="0.25">
      <c r="A22">
        <v>1141</v>
      </c>
      <c r="B22" s="1" t="s">
        <v>139</v>
      </c>
      <c r="Q22" s="1" t="s">
        <v>58</v>
      </c>
    </row>
    <row r="23" spans="1:17" x14ac:dyDescent="0.25">
      <c r="A23">
        <v>1142</v>
      </c>
      <c r="B23" s="1" t="s">
        <v>140</v>
      </c>
      <c r="Q23" s="1" t="s">
        <v>48</v>
      </c>
    </row>
    <row r="24" spans="1:17" x14ac:dyDescent="0.25">
      <c r="A24">
        <v>1143</v>
      </c>
      <c r="B24" s="1" t="s">
        <v>141</v>
      </c>
      <c r="Q24" s="1" t="s">
        <v>50</v>
      </c>
    </row>
    <row r="25" spans="1:17" x14ac:dyDescent="0.25">
      <c r="A25">
        <v>1158</v>
      </c>
      <c r="B25" s="1" t="s">
        <v>142</v>
      </c>
      <c r="Q25" s="1" t="s">
        <v>69</v>
      </c>
    </row>
    <row r="26" spans="1:17" x14ac:dyDescent="0.25">
      <c r="A26">
        <v>1159</v>
      </c>
      <c r="B26" s="1" t="s">
        <v>143</v>
      </c>
      <c r="Q26" s="1" t="s">
        <v>60</v>
      </c>
    </row>
    <row r="27" spans="1:17" x14ac:dyDescent="0.25">
      <c r="A27">
        <v>1160</v>
      </c>
      <c r="B27" s="1" t="s">
        <v>144</v>
      </c>
      <c r="Q27" s="1" t="s">
        <v>68</v>
      </c>
    </row>
    <row r="28" spans="1:17" x14ac:dyDescent="0.25">
      <c r="A28">
        <v>1161</v>
      </c>
      <c r="B28" s="1" t="s">
        <v>145</v>
      </c>
      <c r="Q28" s="1" t="s">
        <v>66</v>
      </c>
    </row>
    <row r="29" spans="1:17" x14ac:dyDescent="0.25">
      <c r="A29">
        <v>1162</v>
      </c>
      <c r="B29" s="1" t="s">
        <v>146</v>
      </c>
      <c r="Q29" s="1" t="s">
        <v>51</v>
      </c>
    </row>
    <row r="30" spans="1:17" x14ac:dyDescent="0.25">
      <c r="A30">
        <v>1163</v>
      </c>
      <c r="B30" s="1" t="s">
        <v>147</v>
      </c>
      <c r="Q30" s="1" t="s">
        <v>65</v>
      </c>
    </row>
    <row r="31" spans="1:17" x14ac:dyDescent="0.25">
      <c r="A31">
        <v>1164</v>
      </c>
      <c r="B31" s="1" t="s">
        <v>148</v>
      </c>
      <c r="Q31" s="1" t="s">
        <v>57</v>
      </c>
    </row>
    <row r="32" spans="1:17" x14ac:dyDescent="0.25">
      <c r="A32">
        <v>1165</v>
      </c>
      <c r="B32" s="1" t="s">
        <v>149</v>
      </c>
      <c r="Q32" s="1" t="s">
        <v>59</v>
      </c>
    </row>
    <row r="33" spans="1:17" x14ac:dyDescent="0.25">
      <c r="A33">
        <v>1166</v>
      </c>
      <c r="B33" s="1" t="s">
        <v>150</v>
      </c>
      <c r="Q33" s="1" t="s">
        <v>41</v>
      </c>
    </row>
    <row r="34" spans="1:17" x14ac:dyDescent="0.25">
      <c r="A34">
        <v>1167</v>
      </c>
      <c r="B34" s="1" t="s">
        <v>151</v>
      </c>
      <c r="Q34" s="1" t="s">
        <v>56</v>
      </c>
    </row>
    <row r="35" spans="1:17" x14ac:dyDescent="0.25">
      <c r="A35">
        <v>1168</v>
      </c>
      <c r="B35" s="1" t="s">
        <v>152</v>
      </c>
    </row>
    <row r="36" spans="1:17" x14ac:dyDescent="0.25">
      <c r="A36">
        <v>1169</v>
      </c>
      <c r="B36" s="1" t="s">
        <v>153</v>
      </c>
    </row>
    <row r="37" spans="1:17" x14ac:dyDescent="0.25">
      <c r="A37">
        <v>1170</v>
      </c>
      <c r="B37" s="1" t="s">
        <v>154</v>
      </c>
    </row>
    <row r="38" spans="1:17" x14ac:dyDescent="0.25">
      <c r="A38">
        <v>1171</v>
      </c>
      <c r="B38" s="1" t="s">
        <v>155</v>
      </c>
    </row>
    <row r="39" spans="1:17" x14ac:dyDescent="0.25">
      <c r="A39">
        <v>1172</v>
      </c>
      <c r="B39" s="1" t="s">
        <v>156</v>
      </c>
    </row>
    <row r="40" spans="1:17" x14ac:dyDescent="0.25">
      <c r="A40">
        <v>1201</v>
      </c>
      <c r="B40" s="1" t="s">
        <v>261</v>
      </c>
    </row>
    <row r="41" spans="1:17" x14ac:dyDescent="0.25">
      <c r="A41">
        <v>1206</v>
      </c>
      <c r="B41" s="1" t="s">
        <v>102</v>
      </c>
    </row>
    <row r="42" spans="1:17" x14ac:dyDescent="0.25">
      <c r="A42">
        <v>1207</v>
      </c>
      <c r="B42" s="1" t="s">
        <v>107</v>
      </c>
    </row>
    <row r="43" spans="1:17" x14ac:dyDescent="0.25">
      <c r="A43">
        <v>1221</v>
      </c>
      <c r="B43" s="1" t="s">
        <v>157</v>
      </c>
    </row>
    <row r="44" spans="1:17" x14ac:dyDescent="0.25">
      <c r="A44">
        <v>1222</v>
      </c>
      <c r="B44" s="1" t="s">
        <v>158</v>
      </c>
    </row>
    <row r="45" spans="1:17" x14ac:dyDescent="0.25">
      <c r="A45">
        <v>1223</v>
      </c>
      <c r="B45" s="1" t="s">
        <v>159</v>
      </c>
    </row>
    <row r="46" spans="1:17" x14ac:dyDescent="0.25">
      <c r="A46">
        <v>1224</v>
      </c>
      <c r="B46" s="1" t="s">
        <v>160</v>
      </c>
    </row>
    <row r="47" spans="1:17" x14ac:dyDescent="0.25">
      <c r="A47">
        <v>1225</v>
      </c>
      <c r="B47" s="1" t="s">
        <v>161</v>
      </c>
    </row>
    <row r="48" spans="1:17" x14ac:dyDescent="0.25">
      <c r="A48">
        <v>1226</v>
      </c>
      <c r="B48" s="1" t="s">
        <v>162</v>
      </c>
    </row>
    <row r="49" spans="1:2" x14ac:dyDescent="0.25">
      <c r="A49">
        <v>1227</v>
      </c>
      <c r="B49" s="1" t="s">
        <v>163</v>
      </c>
    </row>
    <row r="50" spans="1:2" x14ac:dyDescent="0.25">
      <c r="A50">
        <v>1228</v>
      </c>
      <c r="B50" s="1" t="s">
        <v>164</v>
      </c>
    </row>
    <row r="51" spans="1:2" x14ac:dyDescent="0.25">
      <c r="A51">
        <v>1229</v>
      </c>
      <c r="B51" s="1" t="s">
        <v>165</v>
      </c>
    </row>
    <row r="52" spans="1:2" x14ac:dyDescent="0.25">
      <c r="A52">
        <v>1230</v>
      </c>
      <c r="B52" s="1" t="s">
        <v>166</v>
      </c>
    </row>
    <row r="53" spans="1:2" x14ac:dyDescent="0.25">
      <c r="A53">
        <v>1231</v>
      </c>
      <c r="B53" s="1" t="s">
        <v>167</v>
      </c>
    </row>
    <row r="54" spans="1:2" x14ac:dyDescent="0.25">
      <c r="A54">
        <v>1232</v>
      </c>
      <c r="B54" s="1" t="s">
        <v>168</v>
      </c>
    </row>
    <row r="55" spans="1:2" x14ac:dyDescent="0.25">
      <c r="A55">
        <v>1233</v>
      </c>
      <c r="B55" s="1" t="s">
        <v>169</v>
      </c>
    </row>
    <row r="56" spans="1:2" x14ac:dyDescent="0.25">
      <c r="A56">
        <v>1244</v>
      </c>
      <c r="B56" s="1" t="s">
        <v>170</v>
      </c>
    </row>
    <row r="57" spans="1:2" x14ac:dyDescent="0.25">
      <c r="A57">
        <v>1245</v>
      </c>
      <c r="B57" s="1" t="s">
        <v>171</v>
      </c>
    </row>
    <row r="58" spans="1:2" x14ac:dyDescent="0.25">
      <c r="A58">
        <v>1246</v>
      </c>
      <c r="B58" s="1" t="s">
        <v>172</v>
      </c>
    </row>
    <row r="59" spans="1:2" x14ac:dyDescent="0.25">
      <c r="A59">
        <v>1247</v>
      </c>
      <c r="B59" s="1" t="s">
        <v>173</v>
      </c>
    </row>
    <row r="60" spans="1:2" x14ac:dyDescent="0.25">
      <c r="A60">
        <v>1248</v>
      </c>
      <c r="B60" s="1" t="s">
        <v>174</v>
      </c>
    </row>
    <row r="61" spans="1:2" x14ac:dyDescent="0.25">
      <c r="A61">
        <v>1249</v>
      </c>
      <c r="B61" s="1" t="s">
        <v>175</v>
      </c>
    </row>
    <row r="62" spans="1:2" x14ac:dyDescent="0.25">
      <c r="A62">
        <v>1250</v>
      </c>
      <c r="B62" s="1" t="s">
        <v>176</v>
      </c>
    </row>
    <row r="63" spans="1:2" x14ac:dyDescent="0.25">
      <c r="A63">
        <v>1251</v>
      </c>
      <c r="B63" s="1" t="s">
        <v>177</v>
      </c>
    </row>
    <row r="64" spans="1:2" x14ac:dyDescent="0.25">
      <c r="A64">
        <v>1252</v>
      </c>
      <c r="B64" s="1" t="s">
        <v>178</v>
      </c>
    </row>
    <row r="65" spans="1:2" x14ac:dyDescent="0.25">
      <c r="A65">
        <v>1253</v>
      </c>
      <c r="B65" s="1" t="s">
        <v>179</v>
      </c>
    </row>
    <row r="66" spans="1:2" x14ac:dyDescent="0.25">
      <c r="A66">
        <v>1254</v>
      </c>
      <c r="B66" s="1" t="s">
        <v>180</v>
      </c>
    </row>
    <row r="67" spans="1:2" x14ac:dyDescent="0.25">
      <c r="A67">
        <v>1255</v>
      </c>
      <c r="B67" s="1" t="s">
        <v>181</v>
      </c>
    </row>
    <row r="68" spans="1:2" x14ac:dyDescent="0.25">
      <c r="A68">
        <v>1256</v>
      </c>
      <c r="B68" s="1" t="s">
        <v>182</v>
      </c>
    </row>
    <row r="69" spans="1:2" x14ac:dyDescent="0.25">
      <c r="A69">
        <v>1257</v>
      </c>
      <c r="B69" s="1" t="s">
        <v>183</v>
      </c>
    </row>
    <row r="70" spans="1:2" x14ac:dyDescent="0.25">
      <c r="A70">
        <v>1301</v>
      </c>
      <c r="B70" s="1" t="s">
        <v>262</v>
      </c>
    </row>
    <row r="71" spans="1:2" x14ac:dyDescent="0.25">
      <c r="A71">
        <v>1306</v>
      </c>
      <c r="B71" s="1" t="s">
        <v>103</v>
      </c>
    </row>
    <row r="72" spans="1:2" x14ac:dyDescent="0.25">
      <c r="A72">
        <v>1307</v>
      </c>
      <c r="B72" s="1" t="s">
        <v>104</v>
      </c>
    </row>
    <row r="73" spans="1:2" x14ac:dyDescent="0.25">
      <c r="A73">
        <v>1314</v>
      </c>
      <c r="B73" s="1" t="s">
        <v>184</v>
      </c>
    </row>
    <row r="74" spans="1:2" x14ac:dyDescent="0.25">
      <c r="A74">
        <v>1315</v>
      </c>
      <c r="B74" s="1" t="s">
        <v>185</v>
      </c>
    </row>
    <row r="75" spans="1:2" x14ac:dyDescent="0.25">
      <c r="A75">
        <v>1316</v>
      </c>
      <c r="B75" s="1" t="s">
        <v>186</v>
      </c>
    </row>
    <row r="76" spans="1:2" x14ac:dyDescent="0.25">
      <c r="A76">
        <v>1317</v>
      </c>
      <c r="B76" s="1" t="s">
        <v>187</v>
      </c>
    </row>
    <row r="77" spans="1:2" x14ac:dyDescent="0.25">
      <c r="A77">
        <v>1318</v>
      </c>
      <c r="B77" s="1" t="s">
        <v>188</v>
      </c>
    </row>
    <row r="78" spans="1:2" x14ac:dyDescent="0.25">
      <c r="A78">
        <v>1319</v>
      </c>
      <c r="B78" s="1" t="s">
        <v>189</v>
      </c>
    </row>
    <row r="79" spans="1:2" x14ac:dyDescent="0.25">
      <c r="A79">
        <v>1320</v>
      </c>
      <c r="B79" s="1" t="s">
        <v>190</v>
      </c>
    </row>
    <row r="80" spans="1:2" x14ac:dyDescent="0.25">
      <c r="A80">
        <v>1321</v>
      </c>
      <c r="B80" s="1" t="s">
        <v>191</v>
      </c>
    </row>
    <row r="81" spans="1:2" x14ac:dyDescent="0.25">
      <c r="A81">
        <v>1322</v>
      </c>
      <c r="B81" s="1" t="s">
        <v>192</v>
      </c>
    </row>
    <row r="82" spans="1:2" x14ac:dyDescent="0.25">
      <c r="A82">
        <v>1323</v>
      </c>
      <c r="B82" s="1" t="s">
        <v>193</v>
      </c>
    </row>
    <row r="83" spans="1:2" x14ac:dyDescent="0.25">
      <c r="A83">
        <v>1324</v>
      </c>
      <c r="B83" s="1" t="s">
        <v>194</v>
      </c>
    </row>
    <row r="84" spans="1:2" x14ac:dyDescent="0.25">
      <c r="A84">
        <v>1325</v>
      </c>
      <c r="B84" s="1" t="s">
        <v>195</v>
      </c>
    </row>
    <row r="85" spans="1:2" x14ac:dyDescent="0.25">
      <c r="A85">
        <v>1326</v>
      </c>
      <c r="B85" s="1" t="s">
        <v>196</v>
      </c>
    </row>
    <row r="86" spans="1:2" x14ac:dyDescent="0.25">
      <c r="A86">
        <v>1344</v>
      </c>
      <c r="B86" s="1" t="s">
        <v>197</v>
      </c>
    </row>
    <row r="87" spans="1:2" x14ac:dyDescent="0.25">
      <c r="A87">
        <v>1345</v>
      </c>
      <c r="B87" s="1" t="s">
        <v>198</v>
      </c>
    </row>
    <row r="88" spans="1:2" x14ac:dyDescent="0.25">
      <c r="A88">
        <v>1346</v>
      </c>
      <c r="B88" s="1" t="s">
        <v>199</v>
      </c>
    </row>
    <row r="89" spans="1:2" x14ac:dyDescent="0.25">
      <c r="A89">
        <v>1347</v>
      </c>
      <c r="B89" s="1" t="s">
        <v>200</v>
      </c>
    </row>
    <row r="90" spans="1:2" x14ac:dyDescent="0.25">
      <c r="A90">
        <v>1348</v>
      </c>
      <c r="B90" s="1" t="s">
        <v>201</v>
      </c>
    </row>
    <row r="91" spans="1:2" x14ac:dyDescent="0.25">
      <c r="A91">
        <v>1349</v>
      </c>
      <c r="B91" s="1" t="s">
        <v>202</v>
      </c>
    </row>
    <row r="92" spans="1:2" x14ac:dyDescent="0.25">
      <c r="A92">
        <v>1350</v>
      </c>
      <c r="B92" s="1" t="s">
        <v>203</v>
      </c>
    </row>
    <row r="93" spans="1:2" x14ac:dyDescent="0.25">
      <c r="A93">
        <v>1351</v>
      </c>
      <c r="B93" s="1" t="s">
        <v>204</v>
      </c>
    </row>
    <row r="94" spans="1:2" x14ac:dyDescent="0.25">
      <c r="A94">
        <v>1352</v>
      </c>
      <c r="B94" s="1" t="s">
        <v>205</v>
      </c>
    </row>
    <row r="95" spans="1:2" x14ac:dyDescent="0.25">
      <c r="A95">
        <v>1353</v>
      </c>
      <c r="B95" s="1" t="s">
        <v>206</v>
      </c>
    </row>
    <row r="96" spans="1:2" x14ac:dyDescent="0.25">
      <c r="A96">
        <v>1354</v>
      </c>
      <c r="B96" s="1" t="s">
        <v>207</v>
      </c>
    </row>
    <row r="97" spans="1:2" x14ac:dyDescent="0.25">
      <c r="A97">
        <v>1355</v>
      </c>
      <c r="B97" s="1" t="s">
        <v>208</v>
      </c>
    </row>
    <row r="98" spans="1:2" x14ac:dyDescent="0.25">
      <c r="A98">
        <v>1356</v>
      </c>
      <c r="B98" s="1" t="s">
        <v>209</v>
      </c>
    </row>
    <row r="99" spans="1:2" x14ac:dyDescent="0.25">
      <c r="A99">
        <v>1357</v>
      </c>
      <c r="B99" s="1" t="s">
        <v>210</v>
      </c>
    </row>
    <row r="100" spans="1:2" x14ac:dyDescent="0.25">
      <c r="A100">
        <v>1701</v>
      </c>
      <c r="B100" s="1" t="s">
        <v>263</v>
      </c>
    </row>
    <row r="101" spans="1:2" x14ac:dyDescent="0.25">
      <c r="A101">
        <v>1706</v>
      </c>
      <c r="B101" s="1" t="s">
        <v>108</v>
      </c>
    </row>
    <row r="102" spans="1:2" x14ac:dyDescent="0.25">
      <c r="A102">
        <v>1786</v>
      </c>
      <c r="B102" s="1" t="s">
        <v>211</v>
      </c>
    </row>
    <row r="103" spans="1:2" x14ac:dyDescent="0.25">
      <c r="A103">
        <v>1787</v>
      </c>
      <c r="B103" s="1" t="s">
        <v>212</v>
      </c>
    </row>
    <row r="104" spans="1:2" x14ac:dyDescent="0.25">
      <c r="A104">
        <v>1788</v>
      </c>
      <c r="B104" s="1" t="s">
        <v>213</v>
      </c>
    </row>
    <row r="105" spans="1:2" x14ac:dyDescent="0.25">
      <c r="A105">
        <v>1789</v>
      </c>
      <c r="B105" s="1" t="s">
        <v>214</v>
      </c>
    </row>
    <row r="106" spans="1:2" x14ac:dyDescent="0.25">
      <c r="A106">
        <v>1790</v>
      </c>
      <c r="B106" s="1" t="s">
        <v>215</v>
      </c>
    </row>
    <row r="107" spans="1:2" x14ac:dyDescent="0.25">
      <c r="A107">
        <v>1791</v>
      </c>
      <c r="B107" s="1" t="s">
        <v>216</v>
      </c>
    </row>
    <row r="108" spans="1:2" x14ac:dyDescent="0.25">
      <c r="A108">
        <v>1792</v>
      </c>
      <c r="B108" s="1" t="s">
        <v>217</v>
      </c>
    </row>
    <row r="109" spans="1:2" x14ac:dyDescent="0.25">
      <c r="A109">
        <v>1793</v>
      </c>
      <c r="B109" s="1" t="s">
        <v>218</v>
      </c>
    </row>
    <row r="110" spans="1:2" x14ac:dyDescent="0.25">
      <c r="A110">
        <v>1794</v>
      </c>
      <c r="B110" s="1" t="s">
        <v>219</v>
      </c>
    </row>
    <row r="111" spans="1:2" x14ac:dyDescent="0.25">
      <c r="A111">
        <v>1795</v>
      </c>
      <c r="B111" s="1" t="s">
        <v>220</v>
      </c>
    </row>
    <row r="112" spans="1:2" x14ac:dyDescent="0.25">
      <c r="A112">
        <v>1796</v>
      </c>
      <c r="B112" s="1" t="s">
        <v>221</v>
      </c>
    </row>
    <row r="113" spans="1:2" x14ac:dyDescent="0.25">
      <c r="A113">
        <v>1797</v>
      </c>
      <c r="B113" s="1" t="s">
        <v>222</v>
      </c>
    </row>
    <row r="114" spans="1:2" x14ac:dyDescent="0.25">
      <c r="A114">
        <v>1798</v>
      </c>
      <c r="B114" s="1" t="s">
        <v>223</v>
      </c>
    </row>
    <row r="115" spans="1:2" x14ac:dyDescent="0.25">
      <c r="A115">
        <v>1801</v>
      </c>
      <c r="B115" s="1" t="s">
        <v>264</v>
      </c>
    </row>
    <row r="116" spans="1:2" x14ac:dyDescent="0.25">
      <c r="A116">
        <v>2001</v>
      </c>
      <c r="B116" s="1" t="s">
        <v>265</v>
      </c>
    </row>
    <row r="117" spans="1:2" x14ac:dyDescent="0.25">
      <c r="A117">
        <v>2002</v>
      </c>
      <c r="B117" s="1" t="s">
        <v>109</v>
      </c>
    </row>
    <row r="118" spans="1:2" x14ac:dyDescent="0.25">
      <c r="A118">
        <v>2003</v>
      </c>
      <c r="B118" s="1" t="s">
        <v>240</v>
      </c>
    </row>
    <row r="119" spans="1:2" x14ac:dyDescent="0.25">
      <c r="A119">
        <v>2004</v>
      </c>
      <c r="B119" s="1" t="s">
        <v>224</v>
      </c>
    </row>
    <row r="120" spans="1:2" x14ac:dyDescent="0.25">
      <c r="A120">
        <v>2005</v>
      </c>
      <c r="B120" s="1" t="s">
        <v>110</v>
      </c>
    </row>
    <row r="121" spans="1:2" x14ac:dyDescent="0.25">
      <c r="A121">
        <v>2006</v>
      </c>
      <c r="B121" s="1" t="s">
        <v>111</v>
      </c>
    </row>
    <row r="122" spans="1:2" x14ac:dyDescent="0.25">
      <c r="A122">
        <v>2007</v>
      </c>
      <c r="B122" s="1" t="s">
        <v>112</v>
      </c>
    </row>
    <row r="123" spans="1:2" x14ac:dyDescent="0.25">
      <c r="A123">
        <v>2008</v>
      </c>
      <c r="B123" s="1" t="s">
        <v>113</v>
      </c>
    </row>
    <row r="124" spans="1:2" x14ac:dyDescent="0.25">
      <c r="A124">
        <v>2009</v>
      </c>
      <c r="B124" s="1" t="s">
        <v>114</v>
      </c>
    </row>
    <row r="125" spans="1:2" x14ac:dyDescent="0.25">
      <c r="A125">
        <v>2010</v>
      </c>
      <c r="B125" s="1" t="s">
        <v>266</v>
      </c>
    </row>
    <row r="126" spans="1:2" x14ac:dyDescent="0.25">
      <c r="A126">
        <v>2011</v>
      </c>
      <c r="B126" s="1" t="s">
        <v>115</v>
      </c>
    </row>
    <row r="127" spans="1:2" x14ac:dyDescent="0.25">
      <c r="A127">
        <v>2012</v>
      </c>
      <c r="B127" s="1" t="s">
        <v>116</v>
      </c>
    </row>
    <row r="128" spans="1:2" x14ac:dyDescent="0.25">
      <c r="A128">
        <v>2104</v>
      </c>
      <c r="B128" s="1" t="s">
        <v>241</v>
      </c>
    </row>
    <row r="129" spans="1:2" x14ac:dyDescent="0.25">
      <c r="A129">
        <v>3005</v>
      </c>
      <c r="B129" s="1" t="s">
        <v>242</v>
      </c>
    </row>
    <row r="130" spans="1:2" x14ac:dyDescent="0.25">
      <c r="A130">
        <v>3001</v>
      </c>
      <c r="B130" s="1" t="s">
        <v>98</v>
      </c>
    </row>
    <row r="131" spans="1:2" x14ac:dyDescent="0.25">
      <c r="A131">
        <v>3001</v>
      </c>
      <c r="B131" s="1" t="s">
        <v>99</v>
      </c>
    </row>
    <row r="132" spans="1:2" x14ac:dyDescent="0.25">
      <c r="A132">
        <v>3007</v>
      </c>
      <c r="B132" s="1" t="s">
        <v>12</v>
      </c>
    </row>
  </sheetData>
  <sheetProtection algorithmName="SHA-512" hashValue="T6d+rvrUT263bQ0UOBSLlY2ekKd8lAtuhKg7NYAMa9aUi4eG3WO2ruJLUqA6Mouan6O8QKA+vhDv+XnQVXcXfw==" saltValue="pQTuQeYhDNO0uRKVHYl2YA==" spinCount="100000" sheet="1" objects="1" scenarios="1"/>
  <sortState xmlns:xlrd2="http://schemas.microsoft.com/office/spreadsheetml/2017/richdata2" ref="D3:D11">
    <sortCondition ref="D3:D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Instructie</vt:lpstr>
      <vt:lpstr>Gegevens</vt:lpstr>
      <vt:lpstr>Reiskosten en presentie</vt:lpstr>
      <vt:lpstr>Voor boekhouder</vt:lpstr>
      <vt:lpstr>Opzoekblad</vt:lpstr>
      <vt:lpstr>Anders</vt:lpstr>
      <vt:lpstr>Bestuur</vt:lpstr>
      <vt:lpstr>Bestuurscommissie</vt:lpstr>
      <vt:lpstr>BIO</vt:lpstr>
      <vt:lpstr>Geleding</vt:lpstr>
      <vt:lpstr>Kring</vt:lpstr>
      <vt:lpstr>Kringcoördinatie</vt:lpstr>
      <vt:lpstr>NASK1</vt:lpstr>
      <vt:lpstr>NASK2</vt:lpstr>
      <vt:lpstr>NAT</vt:lpstr>
      <vt:lpstr>Gegevens!Print_Area</vt:lpstr>
      <vt:lpstr>'Reiskosten en presentie'!Print_Area</vt:lpstr>
      <vt:lpstr>Redactie</vt:lpstr>
      <vt:lpstr>SCH</vt:lpstr>
      <vt:lpstr>Sectie</vt:lpstr>
      <vt:lpstr>TOA</vt:lpstr>
      <vt:lpstr>Werkgroep</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Kelder</dc:creator>
  <cp:keywords/>
  <dc:description/>
  <cp:lastModifiedBy>Freek Pols</cp:lastModifiedBy>
  <cp:lastPrinted>2025-03-24T16:50:27Z</cp:lastPrinted>
  <dcterms:created xsi:type="dcterms:W3CDTF">2014-08-22T13:18:42Z</dcterms:created>
  <dcterms:modified xsi:type="dcterms:W3CDTF">2026-03-11T17:27:00Z</dcterms:modified>
  <cp:category/>
</cp:coreProperties>
</file>